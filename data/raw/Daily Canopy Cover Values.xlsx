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olcanicenter-my.sharepoint.com/personal/siwar_volcani_agri_gov_il/Documents/Tomatoes/סיכומים לעלאא/"/>
    </mc:Choice>
  </mc:AlternateContent>
  <xr:revisionPtr revIDLastSave="0" documentId="8_{45B6908D-1AC8-47C8-ADA6-636C74547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d_Points" sheetId="2" r:id="rId1"/>
    <sheet name="Sheet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128" i="2"/>
  <c r="G129" i="2"/>
  <c r="G130" i="2"/>
  <c r="G131" i="2"/>
  <c r="G13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E2" i="4" a="1"/>
  <c r="E2" i="4" s="1"/>
  <c r="R3" i="4" s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3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C8" i="4"/>
  <c r="C9" i="4"/>
  <c r="C3" i="4"/>
  <c r="C4" i="4"/>
  <c r="C5" i="4"/>
  <c r="C6" i="4"/>
  <c r="C7" i="4"/>
  <c r="C2" i="4"/>
  <c r="R31" i="4" l="1"/>
  <c r="R20" i="4"/>
  <c r="R34" i="4"/>
  <c r="R24" i="4"/>
  <c r="R37" i="4"/>
  <c r="R8" i="4"/>
  <c r="R30" i="4"/>
  <c r="R6" i="4"/>
  <c r="R4" i="4"/>
  <c r="R5" i="4"/>
  <c r="R15" i="4"/>
  <c r="R32" i="4"/>
  <c r="R21" i="4"/>
  <c r="R22" i="4"/>
  <c r="R23" i="4"/>
  <c r="R35" i="4"/>
  <c r="R36" i="4"/>
  <c r="R38" i="4"/>
  <c r="R9" i="4"/>
  <c r="R11" i="4"/>
  <c r="R13" i="4"/>
  <c r="R7" i="4"/>
  <c r="R16" i="4"/>
  <c r="R17" i="4"/>
  <c r="R19" i="4"/>
  <c r="R33" i="4"/>
  <c r="R25" i="4"/>
  <c r="R26" i="4"/>
  <c r="R27" i="4"/>
  <c r="R28" i="4"/>
  <c r="R29" i="4"/>
  <c r="R12" i="4"/>
  <c r="R14" i="4"/>
  <c r="R10" i="4"/>
  <c r="R1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<sst xmlns="http://schemas.openxmlformats.org/spreadsheetml/2006/main" count="11" uniqueCount="8">
  <si>
    <t>Measured_Day</t>
  </si>
  <si>
    <t>Measured_CC</t>
  </si>
  <si>
    <t>Date</t>
  </si>
  <si>
    <t>Days After Planting</t>
  </si>
  <si>
    <t>Canopy Cover</t>
  </si>
  <si>
    <t>Column1</t>
  </si>
  <si>
    <t>Column2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</si>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</sst>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3" borderId="4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5" xfId="0" applyFill="1" applyBorder="1"/>
    <xf numFmtId="0" fontId="0" fillId="3" borderId="6" xfId="0" applyFill="1" applyBorder="1"/>
    <xf numFmtId="0" fontId="0" fillId="3" borderId="7" xfId="0" applyFill="1" applyBorder="1"/>
  </cellXfs>
  <cellStyles count="1">
    <cellStyle name="Normal" xfId="0" builtinId="0"/>
  </cellStyles>
  <dxfs count="1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Canopy Cover Values from 29/05/2025 for 130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>
        <c:manualLayout>
          <c:layoutTarget val="inner"/>
          <c:xMode val="edge"/>
          <c:yMode val="edge"/>
          <c:x val="0.13150886970227918"/>
          <c:y val="0.15057272542302305"/>
          <c:w val="0.84035408442577386"/>
          <c:h val="0.759962512302683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Measured_Points!$G$1</c:f>
              <c:strCache>
                <c:ptCount val="1"/>
                <c:pt idx="0">
                  <c:v>Canopy Cover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Measured_Points!$F$2:$F$132</c:f>
              <c:numCache>
                <c:formatCode>General</c:formatCode>
                <c:ptCount val="1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</c:numCache>
            </c:numRef>
          </c:xVal>
          <c:yVal>
            <c:numRef>
              <c:f>Measured_Points!$G$2:$G$132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8.4260456073880739E-3</c:v>
                </c:pt>
                <c:pt idx="7">
                  <c:v>1.8218987747278311E-2</c:v>
                </c:pt>
                <c:pt idx="8">
                  <c:v>2.8694929213397388E-2</c:v>
                </c:pt>
                <c:pt idx="9">
                  <c:v>3.9411432940358815E-2</c:v>
                </c:pt>
                <c:pt idx="10">
                  <c:v>5.0000000045817783E-2</c:v>
                </c:pt>
                <c:pt idx="11">
                  <c:v>6.0159285763534104E-2</c:v>
                </c:pt>
                <c:pt idx="12">
                  <c:v>6.9648696886617067E-2</c:v>
                </c:pt>
                <c:pt idx="13">
                  <c:v>7.8282358271015207E-2</c:v>
                </c:pt>
                <c:pt idx="14">
                  <c:v>8.5923436129373421E-2</c:v>
                </c:pt>
                <c:pt idx="15">
                  <c:v>9.2478806025436289E-2</c:v>
                </c:pt>
                <c:pt idx="16">
                  <c:v>9.7894053659234703E-2</c:v>
                </c:pt>
                <c:pt idx="17">
                  <c:v>0.10214879671335381</c:v>
                </c:pt>
                <c:pt idx="18">
                  <c:v>0.10525231621063397</c:v>
                </c:pt>
                <c:pt idx="19">
                  <c:v>0.10723948601371786</c:v>
                </c:pt>
                <c:pt idx="20">
                  <c:v>0.10816698927691287</c:v>
                </c:pt>
                <c:pt idx="21">
                  <c:v>0.10810981084089882</c:v>
                </c:pt>
                <c:pt idx="22">
                  <c:v>0.10715799474086468</c:v>
                </c:pt>
                <c:pt idx="23">
                  <c:v>0.10541365617872195</c:v>
                </c:pt>
                <c:pt idx="24">
                  <c:v>0.10298823749009228</c:v>
                </c:pt>
                <c:pt idx="25">
                  <c:v>9.9999997816836383E-2</c:v>
                </c:pt>
                <c:pt idx="26">
                  <c:v>9.6571726375936418E-2</c:v>
                </c:pt>
                <c:pt idx="27">
                  <c:v>9.2828669395613683E-2</c:v>
                </c:pt>
                <c:pt idx="28">
                  <c:v>8.8896660969612629E-2</c:v>
                </c:pt>
                <c:pt idx="29">
                  <c:v>8.4900448260647632E-2</c:v>
                </c:pt>
                <c:pt idx="30">
                  <c:v>8.0962201664057598E-2</c:v>
                </c:pt>
                <c:pt idx="31">
                  <c:v>7.7200200722789603E-2</c:v>
                </c:pt>
                <c:pt idx="32">
                  <c:v>7.3727686764858358E-2</c:v>
                </c:pt>
                <c:pt idx="33">
                  <c:v>7.0651873414536215E-2</c:v>
                </c:pt>
                <c:pt idx="34">
                  <c:v>6.8073106308517317E-2</c:v>
                </c:pt>
                <c:pt idx="35">
                  <c:v>6.6084163528450091E-2</c:v>
                </c:pt>
                <c:pt idx="36">
                  <c:v>6.4769688441171869E-2</c:v>
                </c:pt>
                <c:pt idx="37">
                  <c:v>6.4205746818173093E-2</c:v>
                </c:pt>
                <c:pt idx="38">
                  <c:v>6.445950028574926E-2</c:v>
                </c:pt>
                <c:pt idx="39">
                  <c:v>6.5588988337449361E-2</c:v>
                </c:pt>
                <c:pt idx="40">
                  <c:v>6.76430113204331E-2</c:v>
                </c:pt>
                <c:pt idx="41">
                  <c:v>7.0661106987454037E-2</c:v>
                </c:pt>
                <c:pt idx="42">
                  <c:v>7.4673613386164017E-2</c:v>
                </c:pt>
                <c:pt idx="43">
                  <c:v>7.9701811037622139E-2</c:v>
                </c:pt>
                <c:pt idx="44">
                  <c:v>8.5758137535782264E-2</c:v>
                </c:pt>
                <c:pt idx="45">
                  <c:v>9.284646787998091E-2</c:v>
                </c:pt>
                <c:pt idx="46">
                  <c:v>0.10096245403229726</c:v>
                </c:pt>
                <c:pt idx="47">
                  <c:v>0.11009391737193502</c:v>
                </c:pt>
                <c:pt idx="48">
                  <c:v>0.12022128789862591</c:v>
                </c:pt>
                <c:pt idx="49">
                  <c:v>0.13131808421726648</c:v>
                </c:pt>
                <c:pt idx="50">
                  <c:v>0.14335142851599442</c:v>
                </c:pt>
                <c:pt idx="51">
                  <c:v>0.15628259092996738</c:v>
                </c:pt>
                <c:pt idx="52">
                  <c:v>0.17006755786315891</c:v>
                </c:pt>
                <c:pt idx="53">
                  <c:v>0.18465761902058569</c:v>
                </c:pt>
                <c:pt idx="54">
                  <c:v>0.19999996808336035</c:v>
                </c:pt>
                <c:pt idx="55">
                  <c:v>0.2160383121392046</c:v>
                </c:pt>
                <c:pt idx="56">
                  <c:v>0.23271348516079654</c:v>
                </c:pt>
                <c:pt idx="57">
                  <c:v>0.24996406100469865</c:v>
                </c:pt>
                <c:pt idx="58">
                  <c:v>0.26772696158350512</c:v>
                </c:pt>
                <c:pt idx="59">
                  <c:v>0.28593805604399786</c:v>
                </c:pt>
                <c:pt idx="60">
                  <c:v>0.3045327469639531</c:v>
                </c:pt>
                <c:pt idx="61">
                  <c:v>0.32344653976069909</c:v>
                </c:pt>
                <c:pt idx="62">
                  <c:v>0.34261559168406136</c:v>
                </c:pt>
                <c:pt idx="63">
                  <c:v>0.3619772369468352</c:v>
                </c:pt>
                <c:pt idx="64">
                  <c:v>0.38147048472580741</c:v>
                </c:pt>
                <c:pt idx="65">
                  <c:v>0.40103648694632471</c:v>
                </c:pt>
                <c:pt idx="66">
                  <c:v>0.42061897294365841</c:v>
                </c:pt>
                <c:pt idx="67">
                  <c:v>0.44016464827413609</c:v>
                </c:pt>
                <c:pt idx="68">
                  <c:v>0.45962355512981751</c:v>
                </c:pt>
                <c:pt idx="69">
                  <c:v>0.47894939198931591</c:v>
                </c:pt>
                <c:pt idx="70">
                  <c:v>0.49809979031861501</c:v>
                </c:pt>
                <c:pt idx="71">
                  <c:v>0.51703654631540641</c:v>
                </c:pt>
                <c:pt idx="72">
                  <c:v>0.53572580586990803</c:v>
                </c:pt>
                <c:pt idx="73">
                  <c:v>0.55413820109644096</c:v>
                </c:pt>
                <c:pt idx="74">
                  <c:v>0.57224893696850387</c:v>
                </c:pt>
                <c:pt idx="75">
                  <c:v>0.59003782677191563</c:v>
                </c:pt>
                <c:pt idx="76">
                  <c:v>0.60748927526893148</c:v>
                </c:pt>
                <c:pt idx="77">
                  <c:v>0.62459220864799125</c:v>
                </c:pt>
                <c:pt idx="78">
                  <c:v>0.64133995051174353</c:v>
                </c:pt>
                <c:pt idx="79">
                  <c:v>0.65773004333866336</c:v>
                </c:pt>
                <c:pt idx="80">
                  <c:v>0.67376401503111361</c:v>
                </c:pt>
                <c:pt idx="81">
                  <c:v>0.68944709034430762</c:v>
                </c:pt>
                <c:pt idx="82">
                  <c:v>0.70478784716991172</c:v>
                </c:pt>
                <c:pt idx="83">
                  <c:v>0.71979781782946273</c:v>
                </c:pt>
                <c:pt idx="84">
                  <c:v>0.73449103571029106</c:v>
                </c:pt>
                <c:pt idx="85">
                  <c:v>0.74888352775901812</c:v>
                </c:pt>
                <c:pt idx="86">
                  <c:v>0.76299275352731855</c:v>
                </c:pt>
                <c:pt idx="87">
                  <c:v>0.7768369916431227</c:v>
                </c:pt>
                <c:pt idx="88">
                  <c:v>0.7904346747630796</c:v>
                </c:pt>
                <c:pt idx="89">
                  <c:v>0.80380367423960142</c:v>
                </c:pt>
                <c:pt idx="90">
                  <c:v>0.81696053591748907</c:v>
                </c:pt>
                <c:pt idx="91">
                  <c:v>0.82991966865512989</c:v>
                </c:pt>
                <c:pt idx="92">
                  <c:v>0.84269248734425795</c:v>
                </c:pt>
                <c:pt idx="93">
                  <c:v>0.85528651238296949</c:v>
                </c:pt>
                <c:pt idx="94">
                  <c:v>0.8677044277376541</c:v>
                </c:pt>
                <c:pt idx="95">
                  <c:v>0.87994309990754271</c:v>
                </c:pt>
                <c:pt idx="96">
                  <c:v>0.89199256028733409</c:v>
                </c:pt>
                <c:pt idx="97">
                  <c:v>0.90383495360371857</c:v>
                </c:pt>
                <c:pt idx="98">
                  <c:v>0.9154434552779992</c:v>
                </c:pt>
                <c:pt idx="99">
                  <c:v>0.92678116075349604</c:v>
                </c:pt>
                <c:pt idx="100">
                  <c:v>0.93779995000032834</c:v>
                </c:pt>
                <c:pt idx="101">
                  <c:v>0.94843933059347496</c:v>
                </c:pt>
                <c:pt idx="102">
                  <c:v>0.9586252629393367</c:v>
                </c:pt>
                <c:pt idx="103">
                  <c:v>0.968268971406964</c:v>
                </c:pt>
                <c:pt idx="104">
                  <c:v>0.97726574529651267</c:v>
                </c:pt>
                <c:pt idx="105">
                  <c:v>0.98549373376589788</c:v>
                </c:pt>
                <c:pt idx="106">
                  <c:v>0.99281273900254974</c:v>
                </c:pt>
                <c:pt idx="107">
                  <c:v>0.99906301212479687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0.99482023919354134</c:v>
                </c:pt>
                <c:pt idx="115">
                  <c:v>0.98403667100535952</c:v>
                </c:pt>
                <c:pt idx="116">
                  <c:v>0.96967580604199377</c:v>
                </c:pt>
                <c:pt idx="117">
                  <c:v>0.95132031933799699</c:v>
                </c:pt>
                <c:pt idx="118">
                  <c:v>0.92852172988425352</c:v>
                </c:pt>
                <c:pt idx="119">
                  <c:v>0.90079964387064149</c:v>
                </c:pt>
                <c:pt idx="120">
                  <c:v>0.86764107521560796</c:v>
                </c:pt>
                <c:pt idx="121">
                  <c:v>0.82849985038604335</c:v>
                </c:pt>
                <c:pt idx="122">
                  <c:v>0.78279610468746086</c:v>
                </c:pt>
                <c:pt idx="123">
                  <c:v>0.72991587736838082</c:v>
                </c:pt>
                <c:pt idx="124">
                  <c:v>0.66921081308641839</c:v>
                </c:pt>
                <c:pt idx="125">
                  <c:v>0.59999797745567396</c:v>
                </c:pt>
                <c:pt idx="126">
                  <c:v>0.52155979455129498</c:v>
                </c:pt>
                <c:pt idx="127">
                  <c:v>0.43314411447783402</c:v>
                </c:pt>
                <c:pt idx="128">
                  <c:v>0.33396441923269221</c:v>
                </c:pt>
                <c:pt idx="129">
                  <c:v>0.22320017531357744</c:v>
                </c:pt>
                <c:pt idx="130">
                  <c:v>9.9997341687715735E-2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4-4BAD-807B-BD92F3C4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221679"/>
        <c:axId val="1439214959"/>
      </c:scatterChart>
      <c:valAx>
        <c:axId val="143922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Days After Planting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39214959"/>
        <c:crosses val="autoZero"/>
        <c:crossBetween val="midCat"/>
      </c:valAx>
      <c:valAx>
        <c:axId val="14392149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Canopy Cover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3922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200024</xdr:colOff>
      <xdr:row>0</xdr:row>
      <xdr:rowOff>133350</xdr:rowOff>
    </xdr:from>
    <xdr:to>
      <xdr:col>19</xdr:col>
      <xdr:colOff>285749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69B07-26D8-3416-7824-D210618C6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1F81D-50EE-4796-9BB6-58D851B33AC1}" name="Table1" displayName="Table1" ref="A2:B11" totalsRowShown="0" tableBorderDxfId="0">
  <autoFilter ref="A2:B11" xr:uid="{ABE1F81D-50EE-4796-9BB6-58D851B33AC1}">
    <filterColumn colId="0" hiddenButton="1"/>
    <filterColumn colId="1" hiddenButton="1"/>
  </autoFilter>
  <tableColumns count="2">
    <tableColumn id="1" xr3:uid="{9F848018-771F-4545-82F6-521900CB6692}" name="Column1"/>
    <tableColumn id="2" xr3:uid="{88D262DA-F97C-48AF-B436-1C7E1D37A704}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2"/>
  <sheetViews>
    <sheetView tabSelected="1" topLeftCell="D1" workbookViewId="0">
      <selection activeCell="K31" sqref="K31"/>
    </sheetView>
  </sheetViews>
  <sheetFormatPr defaultRowHeight="14.25"/>
  <cols>
    <col min="1" max="1" width="36" customWidth="1"/>
    <col min="2" max="2" width="19.125" customWidth="1"/>
    <col min="3" max="3" width="9.875" customWidth="1"/>
    <col min="5" max="5" width="18.125" customWidth="1"/>
    <col min="6" max="6" width="18.375" customWidth="1"/>
    <col min="7" max="7" width="30.25" customWidth="1"/>
  </cols>
  <sheetData>
    <row r="1" spans="1:7" ht="15">
      <c r="A1" s="4" t="s">
        <v>0</v>
      </c>
      <c r="B1" s="5" t="s">
        <v>1</v>
      </c>
      <c r="E1" s="1" t="s">
        <v>2</v>
      </c>
      <c r="F1" s="1" t="s">
        <v>3</v>
      </c>
      <c r="G1" s="1" t="s">
        <v>4</v>
      </c>
    </row>
    <row r="2" spans="1:7">
      <c r="A2" t="s">
        <v>5</v>
      </c>
      <c r="B2" t="s">
        <v>6</v>
      </c>
      <c r="E2" s="2">
        <v>45806</v>
      </c>
      <c r="F2" s="1">
        <v>0</v>
      </c>
      <c r="G2" s="1">
        <v>0</v>
      </c>
    </row>
    <row r="3" spans="1:7">
      <c r="A3">
        <v>0</v>
      </c>
      <c r="B3">
        <v>0</v>
      </c>
      <c r="E3" s="2">
        <v>45807</v>
      </c>
      <c r="F3" s="1">
        <v>1</v>
      </c>
      <c r="G3" s="1">
        <f>MAX(0, MIN(1, B29*F3^8+B30*F3^7 +B31*F3^6
  +B32*F3^5 + B33*F3^4+B34*F3^3
  + B35*F3^2 +B36*F3 + B37))</f>
        <v>0</v>
      </c>
    </row>
    <row r="4" spans="1:7">
      <c r="A4">
        <v>10</v>
      </c>
      <c r="B4">
        <v>0.05</v>
      </c>
      <c r="E4" s="2">
        <v>45808</v>
      </c>
      <c r="F4" s="1">
        <v>2</v>
      </c>
      <c r="G4" s="1">
        <f xml:space="preserve"> MAX(0, MIN(1, -0.00000000002*F4^6 + 0.000000007*F4^5 - 0.000001*F4^4 + 0.00008*F4^3 - 0.0026*F4^2 + 0.038*F4 - 0.0908))</f>
        <v>0</v>
      </c>
    </row>
    <row r="5" spans="1:7">
      <c r="A5">
        <v>40</v>
      </c>
      <c r="B5">
        <v>0.13</v>
      </c>
      <c r="E5" s="2">
        <v>45809</v>
      </c>
      <c r="F5" s="1">
        <v>3</v>
      </c>
      <c r="G5" s="1">
        <f t="shared" ref="G5:G66" si="0">MAX(0, MIN(1, 4.46572649E-15*F5^8 - 2.80962072E-12*F5^7 + 0.00000000069669057*F5^6
  - 0.0000000879338669*F5^5 + 0.00000597562048*F5^4 - 0.000208968938*F5^3
  + 0.00324713614*F5^2 - 0.0117376535*F5 + 3.68757455E-13))</f>
        <v>0</v>
      </c>
    </row>
    <row r="6" spans="1:7">
      <c r="A6">
        <v>54</v>
      </c>
      <c r="B6">
        <v>0.2</v>
      </c>
      <c r="E6" s="2">
        <v>45810</v>
      </c>
      <c r="F6" s="1">
        <v>4</v>
      </c>
      <c r="G6" s="1">
        <f>MAX(0, MIN(1, 4.46572649E-15*F6^8 - 2.80962072E-12*F6^7 + 0.00000000069669057*F6^6
  - 0.0000000879338669*F6^5 + 0.00000597562048*F6^4 - 0.000208968938*F6^3
  + 0.00324713614*F6^2 - 0.0117376535*F6 + 3.68757455E-13))</f>
        <v>0</v>
      </c>
    </row>
    <row r="7" spans="1:7">
      <c r="A7">
        <v>77</v>
      </c>
      <c r="B7">
        <v>0.62459233000000003</v>
      </c>
      <c r="E7" s="2">
        <v>45811</v>
      </c>
      <c r="F7" s="1">
        <v>5</v>
      </c>
      <c r="G7" s="1">
        <f t="shared" si="0"/>
        <v>0</v>
      </c>
    </row>
    <row r="8" spans="1:7">
      <c r="A8">
        <v>101</v>
      </c>
      <c r="B8">
        <v>0.94843983300000001</v>
      </c>
      <c r="E8" s="2">
        <v>45812</v>
      </c>
      <c r="F8" s="1">
        <v>6</v>
      </c>
      <c r="G8" s="1">
        <f>MAX(0, MIN(1, 4.46572649E-15*F8^8 - 2.80962072E-12*F8^7 + 0.00000000069669057*F8^6
  - 0.0000000879338669*F8^5 + 0.00000597562048*F8^4 - 0.000208968938*F8^3
  + 0.00324713614*F8^2 - 0.0117376535*F8 + 3.68757455E-13))</f>
        <v>8.4260456073880739E-3</v>
      </c>
    </row>
    <row r="9" spans="1:7">
      <c r="A9">
        <v>115</v>
      </c>
      <c r="B9">
        <v>0.98403781899999998</v>
      </c>
      <c r="E9" s="2">
        <v>45813</v>
      </c>
      <c r="F9" s="1">
        <v>7</v>
      </c>
      <c r="G9" s="1">
        <f t="shared" si="0"/>
        <v>1.8218987747278311E-2</v>
      </c>
    </row>
    <row r="10" spans="1:7">
      <c r="A10">
        <v>125</v>
      </c>
      <c r="B10">
        <v>0.5</v>
      </c>
      <c r="E10" s="2">
        <v>45814</v>
      </c>
      <c r="F10" s="1">
        <v>8</v>
      </c>
      <c r="G10" s="1">
        <f t="shared" si="0"/>
        <v>2.8694929213397388E-2</v>
      </c>
    </row>
    <row r="11" spans="1:7">
      <c r="A11">
        <v>130</v>
      </c>
      <c r="B11">
        <v>0.1</v>
      </c>
      <c r="E11" s="2">
        <v>45815</v>
      </c>
      <c r="F11" s="1">
        <v>9</v>
      </c>
      <c r="G11" s="1">
        <f t="shared" si="0"/>
        <v>3.9411432940358815E-2</v>
      </c>
    </row>
    <row r="12" spans="1:7">
      <c r="E12" s="2">
        <v>45816</v>
      </c>
      <c r="F12" s="1">
        <v>10</v>
      </c>
      <c r="G12" s="1">
        <f>MAX(0, MIN(1, 4.46572649E-15*F12^8 - 2.80962072E-12*F12^7 + 0.00000000069669057*F12^6
  - 0.0000000879338669*F12^5 + 0.00000597562048*F12^4 - 0.000208968938*F12^3
  + 0.00324713614*F12^2 - 0.0117376535*F12 + 3.68757455E-13))</f>
        <v>5.0000000045817783E-2</v>
      </c>
    </row>
    <row r="13" spans="1:7">
      <c r="E13" s="2">
        <v>45817</v>
      </c>
      <c r="F13" s="1">
        <v>11</v>
      </c>
      <c r="G13" s="1">
        <f>MAX(0, MIN(1, 4.46572649E-15*F13^8 - 2.80962072E-12*F13^7 + 0.00000000069669057*F13^6
  - 0.0000000879338669*F13^5 + 0.00000597562048*F13^4 - 0.000208968938*F13^3
  + 0.00324713614*F13^2 - 0.0117376535*F13 + 3.68757455E-13))</f>
        <v>6.0159285763534104E-2</v>
      </c>
    </row>
    <row r="14" spans="1:7">
      <c r="E14" s="2">
        <v>45818</v>
      </c>
      <c r="F14" s="1">
        <v>12</v>
      </c>
      <c r="G14" s="1">
        <f t="shared" si="0"/>
        <v>6.9648696886617067E-2</v>
      </c>
    </row>
    <row r="15" spans="1:7">
      <c r="E15" s="2">
        <v>45819</v>
      </c>
      <c r="F15" s="1">
        <v>13</v>
      </c>
      <c r="G15" s="1">
        <f t="shared" si="0"/>
        <v>7.8282358271015207E-2</v>
      </c>
    </row>
    <row r="16" spans="1:7">
      <c r="E16" s="2">
        <v>45820</v>
      </c>
      <c r="F16" s="1">
        <v>14</v>
      </c>
      <c r="G16" s="1">
        <f t="shared" si="0"/>
        <v>8.5923436129373421E-2</v>
      </c>
    </row>
    <row r="17" spans="5:7">
      <c r="E17" s="2">
        <v>45821</v>
      </c>
      <c r="F17" s="1">
        <v>15</v>
      </c>
      <c r="G17" s="1">
        <f t="shared" si="0"/>
        <v>9.2478806025436289E-2</v>
      </c>
    </row>
    <row r="18" spans="5:7">
      <c r="E18" s="2">
        <v>45822</v>
      </c>
      <c r="F18" s="1">
        <v>16</v>
      </c>
      <c r="G18" s="1">
        <f t="shared" si="0"/>
        <v>9.7894053659234703E-2</v>
      </c>
    </row>
    <row r="19" spans="5:7">
      <c r="E19" s="2">
        <v>45823</v>
      </c>
      <c r="F19" s="1">
        <v>17</v>
      </c>
      <c r="G19" s="1">
        <f t="shared" si="0"/>
        <v>0.10214879671335381</v>
      </c>
    </row>
    <row r="20" spans="5:7">
      <c r="E20" s="2">
        <v>45824</v>
      </c>
      <c r="F20" s="1">
        <v>18</v>
      </c>
      <c r="G20" s="1">
        <f t="shared" si="0"/>
        <v>0.10525231621063397</v>
      </c>
    </row>
    <row r="21" spans="5:7">
      <c r="E21" s="2">
        <v>45825</v>
      </c>
      <c r="F21" s="1">
        <v>19</v>
      </c>
      <c r="G21" s="1">
        <f t="shared" si="0"/>
        <v>0.10723948601371786</v>
      </c>
    </row>
    <row r="22" spans="5:7">
      <c r="E22" s="2">
        <v>45826</v>
      </c>
      <c r="F22" s="1">
        <v>20</v>
      </c>
      <c r="G22" s="1">
        <f t="shared" si="0"/>
        <v>0.10816698927691287</v>
      </c>
    </row>
    <row r="23" spans="5:7">
      <c r="E23" s="2">
        <v>45827</v>
      </c>
      <c r="F23" s="1">
        <v>21</v>
      </c>
      <c r="G23" s="1">
        <f t="shared" si="0"/>
        <v>0.10810981084089882</v>
      </c>
    </row>
    <row r="24" spans="5:7">
      <c r="E24" s="2">
        <v>45828</v>
      </c>
      <c r="F24" s="1">
        <v>22</v>
      </c>
      <c r="G24" s="1">
        <f t="shared" si="0"/>
        <v>0.10715799474086468</v>
      </c>
    </row>
    <row r="25" spans="5:7">
      <c r="E25" s="2">
        <v>45829</v>
      </c>
      <c r="F25" s="1">
        <v>23</v>
      </c>
      <c r="G25" s="1">
        <f t="shared" si="0"/>
        <v>0.10541365617872195</v>
      </c>
    </row>
    <row r="26" spans="5:7">
      <c r="E26" s="2">
        <v>45830</v>
      </c>
      <c r="F26" s="1">
        <v>24</v>
      </c>
      <c r="G26" s="1">
        <f t="shared" si="0"/>
        <v>0.10298823749009228</v>
      </c>
    </row>
    <row r="27" spans="5:7">
      <c r="E27" s="2">
        <v>45831</v>
      </c>
      <c r="F27" s="1">
        <v>25</v>
      </c>
      <c r="G27" s="1">
        <f t="shared" si="0"/>
        <v>9.9999997816836383E-2</v>
      </c>
    </row>
    <row r="28" spans="5:7">
      <c r="E28" s="2">
        <v>45832</v>
      </c>
      <c r="F28" s="1">
        <v>26</v>
      </c>
      <c r="G28" s="1">
        <f t="shared" si="0"/>
        <v>9.6571726375936418E-2</v>
      </c>
    </row>
    <row r="29" spans="5:7">
      <c r="E29" s="2">
        <v>45833</v>
      </c>
      <c r="F29" s="1">
        <v>27</v>
      </c>
      <c r="G29" s="1">
        <f t="shared" si="0"/>
        <v>9.2828669395613683E-2</v>
      </c>
    </row>
    <row r="30" spans="5:7">
      <c r="E30" s="2">
        <v>45834</v>
      </c>
      <c r="F30" s="1">
        <v>28</v>
      </c>
      <c r="G30" s="1">
        <f t="shared" si="0"/>
        <v>8.8896660969612629E-2</v>
      </c>
    </row>
    <row r="31" spans="5:7">
      <c r="E31" s="2">
        <v>45835</v>
      </c>
      <c r="F31" s="1">
        <v>29</v>
      </c>
      <c r="G31" s="1">
        <f t="shared" si="0"/>
        <v>8.4900448260647632E-2</v>
      </c>
    </row>
    <row r="32" spans="5:7">
      <c r="E32" s="2">
        <v>45836</v>
      </c>
      <c r="F32" s="1">
        <v>30</v>
      </c>
      <c r="G32" s="1">
        <f t="shared" si="0"/>
        <v>8.0962201664057598E-2</v>
      </c>
    </row>
    <row r="33" spans="5:7">
      <c r="E33" s="2">
        <v>45837</v>
      </c>
      <c r="F33" s="1">
        <v>31</v>
      </c>
      <c r="G33" s="1">
        <f t="shared" si="0"/>
        <v>7.7200200722789603E-2</v>
      </c>
    </row>
    <row r="34" spans="5:7">
      <c r="E34" s="2">
        <v>45838</v>
      </c>
      <c r="F34" s="1">
        <v>32</v>
      </c>
      <c r="G34" s="1">
        <f t="shared" si="0"/>
        <v>7.3727686764858358E-2</v>
      </c>
    </row>
    <row r="35" spans="5:7">
      <c r="E35" s="2">
        <v>45839</v>
      </c>
      <c r="F35" s="1">
        <v>33</v>
      </c>
      <c r="G35" s="1">
        <f t="shared" si="0"/>
        <v>7.0651873414536215E-2</v>
      </c>
    </row>
    <row r="36" spans="5:7">
      <c r="E36" s="2">
        <v>45840</v>
      </c>
      <c r="F36" s="1">
        <v>34</v>
      </c>
      <c r="G36" s="1">
        <f t="shared" si="0"/>
        <v>6.8073106308517317E-2</v>
      </c>
    </row>
    <row r="37" spans="5:7">
      <c r="E37" s="2">
        <v>45841</v>
      </c>
      <c r="F37" s="1">
        <v>35</v>
      </c>
      <c r="G37" s="1">
        <f t="shared" si="0"/>
        <v>6.6084163528450091E-2</v>
      </c>
    </row>
    <row r="38" spans="5:7">
      <c r="E38" s="2">
        <v>45842</v>
      </c>
      <c r="F38" s="1">
        <v>36</v>
      </c>
      <c r="G38" s="1">
        <f t="shared" si="0"/>
        <v>6.4769688441171869E-2</v>
      </c>
    </row>
    <row r="39" spans="5:7">
      <c r="E39" s="2">
        <v>45843</v>
      </c>
      <c r="F39" s="1">
        <v>37</v>
      </c>
      <c r="G39" s="1">
        <f t="shared" si="0"/>
        <v>6.4205746818173093E-2</v>
      </c>
    </row>
    <row r="40" spans="5:7">
      <c r="E40" s="2">
        <v>45844</v>
      </c>
      <c r="F40" s="1">
        <v>38</v>
      </c>
      <c r="G40" s="1">
        <f t="shared" si="0"/>
        <v>6.445950028574926E-2</v>
      </c>
    </row>
    <row r="41" spans="5:7">
      <c r="E41" s="2">
        <v>45845</v>
      </c>
      <c r="F41" s="1">
        <v>39</v>
      </c>
      <c r="G41" s="1">
        <f t="shared" si="0"/>
        <v>6.5588988337449361E-2</v>
      </c>
    </row>
    <row r="42" spans="5:7">
      <c r="E42" s="2">
        <v>45846</v>
      </c>
      <c r="F42" s="1">
        <v>40</v>
      </c>
      <c r="G42" s="1">
        <f t="shared" si="0"/>
        <v>6.76430113204331E-2</v>
      </c>
    </row>
    <row r="43" spans="5:7">
      <c r="E43" s="2">
        <v>45847</v>
      </c>
      <c r="F43" s="1">
        <v>41</v>
      </c>
      <c r="G43" s="1">
        <f t="shared" si="0"/>
        <v>7.0661106987454037E-2</v>
      </c>
    </row>
    <row r="44" spans="5:7">
      <c r="E44" s="2">
        <v>45848</v>
      </c>
      <c r="F44" s="1">
        <v>42</v>
      </c>
      <c r="G44" s="1">
        <f t="shared" si="0"/>
        <v>7.4673613386164017E-2</v>
      </c>
    </row>
    <row r="45" spans="5:7">
      <c r="E45" s="2">
        <v>45849</v>
      </c>
      <c r="F45" s="1">
        <v>43</v>
      </c>
      <c r="G45" s="1">
        <f t="shared" si="0"/>
        <v>7.9701811037622139E-2</v>
      </c>
    </row>
    <row r="46" spans="5:7">
      <c r="E46" s="2">
        <v>45850</v>
      </c>
      <c r="F46" s="1">
        <v>44</v>
      </c>
      <c r="G46" s="1">
        <f t="shared" si="0"/>
        <v>8.5758137535782264E-2</v>
      </c>
    </row>
    <row r="47" spans="5:7">
      <c r="E47" s="2">
        <v>45851</v>
      </c>
      <c r="F47" s="1">
        <v>45</v>
      </c>
      <c r="G47" s="1">
        <f t="shared" si="0"/>
        <v>9.284646787998091E-2</v>
      </c>
    </row>
    <row r="48" spans="5:7">
      <c r="E48" s="2">
        <v>45852</v>
      </c>
      <c r="F48" s="1">
        <v>46</v>
      </c>
      <c r="G48" s="1">
        <f t="shared" si="0"/>
        <v>0.10096245403229726</v>
      </c>
    </row>
    <row r="49" spans="5:7">
      <c r="E49" s="2">
        <v>45853</v>
      </c>
      <c r="F49" s="1">
        <v>47</v>
      </c>
      <c r="G49" s="1">
        <f t="shared" si="0"/>
        <v>0.11009391737193502</v>
      </c>
    </row>
    <row r="50" spans="5:7">
      <c r="E50" s="2">
        <v>45854</v>
      </c>
      <c r="F50" s="1">
        <v>48</v>
      </c>
      <c r="G50" s="1">
        <f t="shared" si="0"/>
        <v>0.12022128789862591</v>
      </c>
    </row>
    <row r="51" spans="5:7">
      <c r="E51" s="2">
        <v>45855</v>
      </c>
      <c r="F51" s="1">
        <v>49</v>
      </c>
      <c r="G51" s="1">
        <f t="shared" si="0"/>
        <v>0.13131808421726648</v>
      </c>
    </row>
    <row r="52" spans="5:7">
      <c r="E52" s="2">
        <v>45856</v>
      </c>
      <c r="F52" s="1">
        <v>50</v>
      </c>
      <c r="G52" s="1">
        <f t="shared" si="0"/>
        <v>0.14335142851599442</v>
      </c>
    </row>
    <row r="53" spans="5:7">
      <c r="E53" s="2">
        <v>45857</v>
      </c>
      <c r="F53" s="1">
        <v>51</v>
      </c>
      <c r="G53" s="1">
        <f t="shared" si="0"/>
        <v>0.15628259092996738</v>
      </c>
    </row>
    <row r="54" spans="5:7">
      <c r="E54" s="2">
        <v>45858</v>
      </c>
      <c r="F54" s="1">
        <v>52</v>
      </c>
      <c r="G54" s="1">
        <f t="shared" si="0"/>
        <v>0.17006755786315891</v>
      </c>
    </row>
    <row r="55" spans="5:7">
      <c r="E55" s="2">
        <v>45859</v>
      </c>
      <c r="F55" s="1">
        <v>53</v>
      </c>
      <c r="G55" s="1">
        <f t="shared" si="0"/>
        <v>0.18465761902058569</v>
      </c>
    </row>
    <row r="56" spans="5:7">
      <c r="E56" s="3">
        <v>45860</v>
      </c>
      <c r="F56" s="1">
        <v>54</v>
      </c>
      <c r="G56" s="1">
        <f t="shared" si="0"/>
        <v>0.19999996808336035</v>
      </c>
    </row>
    <row r="57" spans="5:7">
      <c r="E57" s="2">
        <v>45861</v>
      </c>
      <c r="F57" s="1">
        <v>55</v>
      </c>
      <c r="G57" s="1">
        <f t="shared" si="0"/>
        <v>0.2160383121392046</v>
      </c>
    </row>
    <row r="58" spans="5:7">
      <c r="E58" s="2">
        <v>45862</v>
      </c>
      <c r="F58" s="1">
        <v>56</v>
      </c>
      <c r="G58" s="1">
        <f t="shared" si="0"/>
        <v>0.23271348516079654</v>
      </c>
    </row>
    <row r="59" spans="5:7">
      <c r="E59" s="2">
        <v>45863</v>
      </c>
      <c r="F59" s="1">
        <v>57</v>
      </c>
      <c r="G59" s="1">
        <f t="shared" si="0"/>
        <v>0.24996406100469865</v>
      </c>
    </row>
    <row r="60" spans="5:7">
      <c r="E60" s="2">
        <v>45864</v>
      </c>
      <c r="F60" s="1">
        <v>58</v>
      </c>
      <c r="G60" s="1">
        <f t="shared" si="0"/>
        <v>0.26772696158350512</v>
      </c>
    </row>
    <row r="61" spans="5:7">
      <c r="E61" s="2">
        <v>45865</v>
      </c>
      <c r="F61" s="1">
        <v>59</v>
      </c>
      <c r="G61" s="1">
        <f t="shared" si="0"/>
        <v>0.28593805604399786</v>
      </c>
    </row>
    <row r="62" spans="5:7">
      <c r="E62" s="2">
        <v>45866</v>
      </c>
      <c r="F62" s="1">
        <v>60</v>
      </c>
      <c r="G62" s="1">
        <f t="shared" si="0"/>
        <v>0.3045327469639531</v>
      </c>
    </row>
    <row r="63" spans="5:7">
      <c r="E63" s="2">
        <v>45867</v>
      </c>
      <c r="F63" s="1">
        <v>61</v>
      </c>
      <c r="G63" s="1">
        <f t="shared" si="0"/>
        <v>0.32344653976069909</v>
      </c>
    </row>
    <row r="64" spans="5:7">
      <c r="E64" s="2">
        <v>45868</v>
      </c>
      <c r="F64" s="1">
        <v>62</v>
      </c>
      <c r="G64" s="1">
        <f t="shared" si="0"/>
        <v>0.34261559168406136</v>
      </c>
    </row>
    <row r="65" spans="5:7">
      <c r="E65" s="2">
        <v>45869</v>
      </c>
      <c r="F65" s="1">
        <v>63</v>
      </c>
      <c r="G65" s="1">
        <f t="shared" si="0"/>
        <v>0.3619772369468352</v>
      </c>
    </row>
    <row r="66" spans="5:7">
      <c r="E66" s="2">
        <v>45870</v>
      </c>
      <c r="F66" s="1">
        <v>64</v>
      </c>
      <c r="G66" s="1">
        <f t="shared" si="0"/>
        <v>0.38147048472580741</v>
      </c>
    </row>
    <row r="67" spans="5:7">
      <c r="E67" s="2">
        <v>45871</v>
      </c>
      <c r="F67" s="1">
        <v>65</v>
      </c>
      <c r="G67" s="1">
        <f t="shared" ref="G67:G130" si="1">MAX(0, MIN(1, 4.46572649E-15*F67^8 - 2.80962072E-12*F67^7 + 0.00000000069669057*F67^6
  - 0.0000000879338669*F67^5 + 0.00000597562048*F67^4 - 0.000208968938*F67^3
  + 0.00324713614*F67^2 - 0.0117376535*F67 + 3.68757455E-13))</f>
        <v>0.40103648694632471</v>
      </c>
    </row>
    <row r="68" spans="5:7">
      <c r="E68" s="2">
        <v>45872</v>
      </c>
      <c r="F68" s="1">
        <v>66</v>
      </c>
      <c r="G68" s="1">
        <f t="shared" si="1"/>
        <v>0.42061897294365841</v>
      </c>
    </row>
    <row r="69" spans="5:7">
      <c r="E69" s="2">
        <v>45873</v>
      </c>
      <c r="F69" s="1">
        <v>67</v>
      </c>
      <c r="G69" s="1">
        <f t="shared" si="1"/>
        <v>0.44016464827413609</v>
      </c>
    </row>
    <row r="70" spans="5:7">
      <c r="E70" s="2">
        <v>45874</v>
      </c>
      <c r="F70" s="1">
        <v>68</v>
      </c>
      <c r="G70" s="1">
        <f t="shared" si="1"/>
        <v>0.45962355512981751</v>
      </c>
    </row>
    <row r="71" spans="5:7">
      <c r="E71" s="2">
        <v>45875</v>
      </c>
      <c r="F71" s="1">
        <v>69</v>
      </c>
      <c r="G71" s="1">
        <f t="shared" si="1"/>
        <v>0.47894939198931591</v>
      </c>
    </row>
    <row r="72" spans="5:7">
      <c r="E72" s="2">
        <v>45876</v>
      </c>
      <c r="F72" s="1">
        <v>70</v>
      </c>
      <c r="G72" s="1">
        <f t="shared" si="1"/>
        <v>0.49809979031861501</v>
      </c>
    </row>
    <row r="73" spans="5:7">
      <c r="E73" s="2">
        <v>45877</v>
      </c>
      <c r="F73" s="1">
        <v>71</v>
      </c>
      <c r="G73" s="1">
        <f t="shared" si="1"/>
        <v>0.51703654631540641</v>
      </c>
    </row>
    <row r="74" spans="5:7">
      <c r="E74" s="2">
        <v>45878</v>
      </c>
      <c r="F74" s="1">
        <v>72</v>
      </c>
      <c r="G74" s="1">
        <f t="shared" si="1"/>
        <v>0.53572580586990803</v>
      </c>
    </row>
    <row r="75" spans="5:7">
      <c r="E75" s="2">
        <v>45879</v>
      </c>
      <c r="F75" s="1">
        <v>73</v>
      </c>
      <c r="G75" s="1">
        <f t="shared" si="1"/>
        <v>0.55413820109644096</v>
      </c>
    </row>
    <row r="76" spans="5:7">
      <c r="E76" s="2">
        <v>45880</v>
      </c>
      <c r="F76" s="1">
        <v>74</v>
      </c>
      <c r="G76" s="1">
        <f t="shared" si="1"/>
        <v>0.57224893696850387</v>
      </c>
    </row>
    <row r="77" spans="5:7">
      <c r="E77" s="2">
        <v>45881</v>
      </c>
      <c r="F77" s="1">
        <v>75</v>
      </c>
      <c r="G77" s="1">
        <f t="shared" si="1"/>
        <v>0.59003782677191563</v>
      </c>
    </row>
    <row r="78" spans="5:7">
      <c r="E78" s="2">
        <v>45882</v>
      </c>
      <c r="F78" s="1">
        <v>76</v>
      </c>
      <c r="G78" s="1">
        <f t="shared" si="1"/>
        <v>0.60748927526893148</v>
      </c>
    </row>
    <row r="79" spans="5:7">
      <c r="E79" s="3">
        <v>45883</v>
      </c>
      <c r="F79" s="1">
        <v>77</v>
      </c>
      <c r="G79" s="1">
        <f t="shared" si="1"/>
        <v>0.62459220864799125</v>
      </c>
    </row>
    <row r="80" spans="5:7">
      <c r="E80" s="2">
        <v>45884</v>
      </c>
      <c r="F80" s="1">
        <v>78</v>
      </c>
      <c r="G80" s="1">
        <f t="shared" si="1"/>
        <v>0.64133995051174353</v>
      </c>
    </row>
    <row r="81" spans="5:7">
      <c r="E81" s="2">
        <v>45885</v>
      </c>
      <c r="F81" s="1">
        <v>79</v>
      </c>
      <c r="G81" s="1">
        <f t="shared" si="1"/>
        <v>0.65773004333866336</v>
      </c>
    </row>
    <row r="82" spans="5:7">
      <c r="E82" s="2">
        <v>45886</v>
      </c>
      <c r="F82" s="1">
        <v>80</v>
      </c>
      <c r="G82" s="1">
        <f t="shared" si="1"/>
        <v>0.67376401503111361</v>
      </c>
    </row>
    <row r="83" spans="5:7">
      <c r="E83" s="2">
        <v>45887</v>
      </c>
      <c r="F83" s="1">
        <v>81</v>
      </c>
      <c r="G83" s="1">
        <f t="shared" si="1"/>
        <v>0.68944709034430762</v>
      </c>
    </row>
    <row r="84" spans="5:7">
      <c r="E84" s="2">
        <v>45888</v>
      </c>
      <c r="F84" s="1">
        <v>82</v>
      </c>
      <c r="G84" s="1">
        <f t="shared" si="1"/>
        <v>0.70478784716991172</v>
      </c>
    </row>
    <row r="85" spans="5:7">
      <c r="E85" s="2">
        <v>45889</v>
      </c>
      <c r="F85" s="1">
        <v>83</v>
      </c>
      <c r="G85" s="1">
        <f t="shared" si="1"/>
        <v>0.71979781782946273</v>
      </c>
    </row>
    <row r="86" spans="5:7">
      <c r="E86" s="2">
        <v>45890</v>
      </c>
      <c r="F86" s="1">
        <v>84</v>
      </c>
      <c r="G86" s="1">
        <f t="shared" si="1"/>
        <v>0.73449103571029106</v>
      </c>
    </row>
    <row r="87" spans="5:7">
      <c r="E87" s="2">
        <v>45891</v>
      </c>
      <c r="F87" s="1">
        <v>85</v>
      </c>
      <c r="G87" s="1">
        <f t="shared" si="1"/>
        <v>0.74888352775901812</v>
      </c>
    </row>
    <row r="88" spans="5:7">
      <c r="E88" s="2">
        <v>45892</v>
      </c>
      <c r="F88" s="1">
        <v>86</v>
      </c>
      <c r="G88" s="1">
        <f t="shared" si="1"/>
        <v>0.76299275352731855</v>
      </c>
    </row>
    <row r="89" spans="5:7">
      <c r="E89" s="2">
        <v>45893</v>
      </c>
      <c r="F89" s="1">
        <v>87</v>
      </c>
      <c r="G89" s="1">
        <f t="shared" si="1"/>
        <v>0.7768369916431227</v>
      </c>
    </row>
    <row r="90" spans="5:7">
      <c r="E90" s="2">
        <v>45894</v>
      </c>
      <c r="F90" s="1">
        <v>88</v>
      </c>
      <c r="G90" s="1">
        <f t="shared" si="1"/>
        <v>0.7904346747630796</v>
      </c>
    </row>
    <row r="91" spans="5:7">
      <c r="E91" s="2">
        <v>45895</v>
      </c>
      <c r="F91" s="1">
        <v>89</v>
      </c>
      <c r="G91" s="1">
        <f t="shared" si="1"/>
        <v>0.80380367423960142</v>
      </c>
    </row>
    <row r="92" spans="5:7">
      <c r="E92" s="2">
        <v>45896</v>
      </c>
      <c r="F92" s="1">
        <v>90</v>
      </c>
      <c r="G92" s="1">
        <f t="shared" si="1"/>
        <v>0.81696053591748907</v>
      </c>
    </row>
    <row r="93" spans="5:7">
      <c r="E93" s="2">
        <v>45897</v>
      </c>
      <c r="F93" s="1">
        <v>91</v>
      </c>
      <c r="G93" s="1">
        <f t="shared" si="1"/>
        <v>0.82991966865512989</v>
      </c>
    </row>
    <row r="94" spans="5:7">
      <c r="E94" s="2">
        <v>45898</v>
      </c>
      <c r="F94" s="1">
        <v>92</v>
      </c>
      <c r="G94" s="1">
        <f t="shared" si="1"/>
        <v>0.84269248734425795</v>
      </c>
    </row>
    <row r="95" spans="5:7">
      <c r="E95" s="2">
        <v>45899</v>
      </c>
      <c r="F95" s="1">
        <v>93</v>
      </c>
      <c r="G95" s="1">
        <f t="shared" si="1"/>
        <v>0.85528651238296949</v>
      </c>
    </row>
    <row r="96" spans="5:7">
      <c r="E96" s="2">
        <v>45900</v>
      </c>
      <c r="F96" s="1">
        <v>94</v>
      </c>
      <c r="G96" s="1">
        <f t="shared" si="1"/>
        <v>0.8677044277376541</v>
      </c>
    </row>
    <row r="97" spans="5:7">
      <c r="E97" s="2">
        <v>45901</v>
      </c>
      <c r="F97" s="1">
        <v>95</v>
      </c>
      <c r="G97" s="1">
        <f t="shared" si="1"/>
        <v>0.87994309990754271</v>
      </c>
    </row>
    <row r="98" spans="5:7">
      <c r="E98" s="2">
        <v>45902</v>
      </c>
      <c r="F98" s="1">
        <v>96</v>
      </c>
      <c r="G98" s="1">
        <f t="shared" si="1"/>
        <v>0.89199256028733409</v>
      </c>
    </row>
    <row r="99" spans="5:7">
      <c r="E99" s="2">
        <v>45903</v>
      </c>
      <c r="F99" s="1">
        <v>97</v>
      </c>
      <c r="G99" s="1">
        <f t="shared" si="1"/>
        <v>0.90383495360371857</v>
      </c>
    </row>
    <row r="100" spans="5:7">
      <c r="E100" s="2">
        <v>45904</v>
      </c>
      <c r="F100" s="1">
        <v>98</v>
      </c>
      <c r="G100" s="1">
        <f t="shared" si="1"/>
        <v>0.9154434552779992</v>
      </c>
    </row>
    <row r="101" spans="5:7">
      <c r="E101" s="2">
        <v>45905</v>
      </c>
      <c r="F101" s="1">
        <v>99</v>
      </c>
      <c r="G101" s="1">
        <f t="shared" si="1"/>
        <v>0.92678116075349604</v>
      </c>
    </row>
    <row r="102" spans="5:7">
      <c r="E102" s="2">
        <v>45906</v>
      </c>
      <c r="F102" s="1">
        <v>100</v>
      </c>
      <c r="G102" s="1">
        <f t="shared" si="1"/>
        <v>0.93779995000032834</v>
      </c>
    </row>
    <row r="103" spans="5:7">
      <c r="E103" s="3">
        <v>45907</v>
      </c>
      <c r="F103" s="1">
        <v>101</v>
      </c>
      <c r="G103" s="1">
        <f t="shared" si="1"/>
        <v>0.94843933059347496</v>
      </c>
    </row>
    <row r="104" spans="5:7">
      <c r="E104" s="2">
        <v>45908</v>
      </c>
      <c r="F104" s="1">
        <v>102</v>
      </c>
      <c r="G104" s="1">
        <f t="shared" si="1"/>
        <v>0.9586252629393367</v>
      </c>
    </row>
    <row r="105" spans="5:7">
      <c r="E105" s="2">
        <v>45909</v>
      </c>
      <c r="F105" s="1">
        <v>103</v>
      </c>
      <c r="G105" s="1">
        <f t="shared" si="1"/>
        <v>0.968268971406964</v>
      </c>
    </row>
    <row r="106" spans="5:7">
      <c r="E106" s="2">
        <v>45910</v>
      </c>
      <c r="F106" s="1">
        <v>104</v>
      </c>
      <c r="G106" s="1">
        <f t="shared" si="1"/>
        <v>0.97726574529651267</v>
      </c>
    </row>
    <row r="107" spans="5:7">
      <c r="E107" s="2">
        <v>45911</v>
      </c>
      <c r="F107" s="1">
        <v>105</v>
      </c>
      <c r="G107" s="1">
        <f t="shared" si="1"/>
        <v>0.98549373376589788</v>
      </c>
    </row>
    <row r="108" spans="5:7">
      <c r="E108" s="2">
        <v>45912</v>
      </c>
      <c r="F108" s="1">
        <v>106</v>
      </c>
      <c r="G108" s="1">
        <f t="shared" si="1"/>
        <v>0.99281273900254974</v>
      </c>
    </row>
    <row r="109" spans="5:7">
      <c r="E109" s="2">
        <v>45913</v>
      </c>
      <c r="F109" s="1">
        <v>107</v>
      </c>
      <c r="G109" s="1">
        <f t="shared" si="1"/>
        <v>0.99906301212479687</v>
      </c>
    </row>
    <row r="110" spans="5:7">
      <c r="E110" s="2">
        <v>45914</v>
      </c>
      <c r="F110" s="1">
        <v>108</v>
      </c>
      <c r="G110" s="1">
        <f t="shared" si="1"/>
        <v>1</v>
      </c>
    </row>
    <row r="111" spans="5:7">
      <c r="E111" s="2">
        <v>45915</v>
      </c>
      <c r="F111" s="1">
        <v>109</v>
      </c>
      <c r="G111" s="1">
        <f t="shared" si="1"/>
        <v>1</v>
      </c>
    </row>
    <row r="112" spans="5:7">
      <c r="E112" s="2">
        <v>45916</v>
      </c>
      <c r="F112" s="1">
        <v>110</v>
      </c>
      <c r="G112" s="1">
        <f t="shared" si="1"/>
        <v>1</v>
      </c>
    </row>
    <row r="113" spans="5:7">
      <c r="E113" s="2">
        <v>45917</v>
      </c>
      <c r="F113" s="1">
        <v>111</v>
      </c>
      <c r="G113" s="1">
        <f t="shared" si="1"/>
        <v>1</v>
      </c>
    </row>
    <row r="114" spans="5:7">
      <c r="E114" s="2">
        <v>45918</v>
      </c>
      <c r="F114" s="1">
        <v>112</v>
      </c>
      <c r="G114" s="1">
        <f t="shared" si="1"/>
        <v>1</v>
      </c>
    </row>
    <row r="115" spans="5:7">
      <c r="E115" s="2">
        <v>45919</v>
      </c>
      <c r="F115" s="1">
        <v>113</v>
      </c>
      <c r="G115" s="1">
        <f t="shared" si="1"/>
        <v>1</v>
      </c>
    </row>
    <row r="116" spans="5:7">
      <c r="E116" s="2">
        <v>45920</v>
      </c>
      <c r="F116" s="1">
        <v>114</v>
      </c>
      <c r="G116" s="1">
        <f t="shared" si="1"/>
        <v>0.99482023919354134</v>
      </c>
    </row>
    <row r="117" spans="5:7">
      <c r="E117" s="3">
        <v>45921</v>
      </c>
      <c r="F117" s="1">
        <v>115</v>
      </c>
      <c r="G117" s="1">
        <f t="shared" si="1"/>
        <v>0.98403667100535952</v>
      </c>
    </row>
    <row r="118" spans="5:7">
      <c r="E118" s="2">
        <v>45922</v>
      </c>
      <c r="F118" s="1">
        <v>116</v>
      </c>
      <c r="G118" s="1">
        <f t="shared" si="1"/>
        <v>0.96967580604199377</v>
      </c>
    </row>
    <row r="119" spans="5:7">
      <c r="E119" s="2">
        <v>45923</v>
      </c>
      <c r="F119" s="1">
        <v>117</v>
      </c>
      <c r="G119" s="1">
        <f t="shared" si="1"/>
        <v>0.95132031933799699</v>
      </c>
    </row>
    <row r="120" spans="5:7">
      <c r="E120" s="2">
        <v>45924</v>
      </c>
      <c r="F120" s="1">
        <v>118</v>
      </c>
      <c r="G120" s="1">
        <f t="shared" si="1"/>
        <v>0.92852172988425352</v>
      </c>
    </row>
    <row r="121" spans="5:7">
      <c r="E121" s="2">
        <v>45925</v>
      </c>
      <c r="F121" s="1">
        <v>119</v>
      </c>
      <c r="G121" s="1">
        <f t="shared" si="1"/>
        <v>0.90079964387064149</v>
      </c>
    </row>
    <row r="122" spans="5:7">
      <c r="E122" s="2">
        <v>45926</v>
      </c>
      <c r="F122" s="1">
        <v>120</v>
      </c>
      <c r="G122" s="1">
        <f t="shared" si="1"/>
        <v>0.86764107521560796</v>
      </c>
    </row>
    <row r="123" spans="5:7">
      <c r="E123" s="2">
        <v>45927</v>
      </c>
      <c r="F123" s="1">
        <v>121</v>
      </c>
      <c r="G123" s="1">
        <f t="shared" si="1"/>
        <v>0.82849985038604335</v>
      </c>
    </row>
    <row r="124" spans="5:7">
      <c r="E124" s="2">
        <v>45928</v>
      </c>
      <c r="F124" s="1">
        <v>122</v>
      </c>
      <c r="G124" s="1">
        <f t="shared" si="1"/>
        <v>0.78279610468746086</v>
      </c>
    </row>
    <row r="125" spans="5:7">
      <c r="E125" s="2">
        <v>45929</v>
      </c>
      <c r="F125" s="1">
        <v>123</v>
      </c>
      <c r="G125" s="1">
        <f t="shared" si="1"/>
        <v>0.72991587736838082</v>
      </c>
    </row>
    <row r="126" spans="5:7">
      <c r="E126" s="2">
        <v>45930</v>
      </c>
      <c r="F126" s="1">
        <v>124</v>
      </c>
      <c r="G126" s="1">
        <f t="shared" si="1"/>
        <v>0.66921081308641839</v>
      </c>
    </row>
    <row r="127" spans="5:7">
      <c r="E127" s="2">
        <v>45931</v>
      </c>
      <c r="F127" s="1">
        <v>125</v>
      </c>
      <c r="G127" s="1">
        <f t="shared" si="1"/>
        <v>0.59999797745567396</v>
      </c>
    </row>
    <row r="128" spans="5:7">
      <c r="E128" s="2">
        <v>45932</v>
      </c>
      <c r="F128" s="1">
        <v>126</v>
      </c>
      <c r="G128" s="1">
        <f t="shared" si="1"/>
        <v>0.52155979455129498</v>
      </c>
    </row>
    <row r="129" spans="5:7">
      <c r="E129" s="2">
        <v>45933</v>
      </c>
      <c r="F129" s="1">
        <v>127</v>
      </c>
      <c r="G129" s="1">
        <f t="shared" si="1"/>
        <v>0.43314411447783402</v>
      </c>
    </row>
    <row r="130" spans="5:7">
      <c r="E130" s="2">
        <v>45934</v>
      </c>
      <c r="F130" s="1">
        <v>128</v>
      </c>
      <c r="G130" s="1">
        <f t="shared" si="1"/>
        <v>0.33396441923269221</v>
      </c>
    </row>
    <row r="131" spans="5:7">
      <c r="E131" s="2">
        <v>45935</v>
      </c>
      <c r="F131" s="1">
        <v>129</v>
      </c>
      <c r="G131" s="1">
        <f t="shared" ref="G131:G132" si="2">MAX(0, MIN(1, 4.46572649E-15*F131^8 - 2.80962072E-12*F131^7 + 0.00000000069669057*F131^6
  - 0.0000000879338669*F131^5 + 0.00000597562048*F131^4 - 0.000208968938*F131^3
  + 0.00324713614*F131^2 - 0.0117376535*F131 + 3.68757455E-13))</f>
        <v>0.22320017531357744</v>
      </c>
    </row>
    <row r="132" spans="5:7">
      <c r="E132" s="2">
        <v>45936</v>
      </c>
      <c r="F132" s="1">
        <v>130</v>
      </c>
      <c r="G132" s="1">
        <f t="shared" si="2"/>
        <v>9.9997341687715735E-2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3BC0-115D-453C-A2F8-C5F13E05AD7E}">
  <dimension ref="A2:R133"/>
  <sheetViews>
    <sheetView workbookViewId="0">
      <selection activeCell="J5" sqref="J5"/>
    </sheetView>
  </sheetViews>
  <sheetFormatPr defaultRowHeight="14.25"/>
  <cols>
    <col min="5" max="5" width="12.75" bestFit="1" customWidth="1"/>
    <col min="14" max="14" width="6.625" customWidth="1"/>
    <col min="15" max="15" width="9.125" hidden="1" customWidth="1"/>
    <col min="16" max="16" width="21.125" customWidth="1"/>
    <col min="17" max="17" width="24.125" customWidth="1"/>
    <col min="18" max="18" width="20.75" customWidth="1"/>
  </cols>
  <sheetData>
    <row r="2" spans="1:18">
      <c r="A2" s="8">
        <v>10</v>
      </c>
      <c r="B2" s="9">
        <v>0.05</v>
      </c>
      <c r="C2">
        <f>(A2-65)/65</f>
        <v>-0.84615384615384615</v>
      </c>
      <c r="E2" cm="1">
        <f t="array" ref="E2:L2">LINEST(A2:A9, B2:B9^{1,2,3,4,5,6,7}, TRUE, FALSE)</f>
        <v>-473692.98328548041</v>
      </c>
      <c r="F2">
        <v>1590573.8334885838</v>
      </c>
      <c r="G2">
        <v>-2077409.804753986</v>
      </c>
      <c r="H2">
        <v>1336597.6112892535</v>
      </c>
      <c r="I2">
        <v>-444273.71627583203</v>
      </c>
      <c r="J2">
        <v>73248.349499012867</v>
      </c>
      <c r="K2">
        <v>-5106.3137272636222</v>
      </c>
      <c r="L2">
        <v>130.0000000000291</v>
      </c>
      <c r="N2" t="s">
        <v>7</v>
      </c>
      <c r="P2" s="1" t="s">
        <v>2</v>
      </c>
      <c r="Q2" s="1" t="s">
        <v>3</v>
      </c>
      <c r="R2" s="1" t="s">
        <v>4</v>
      </c>
    </row>
    <row r="3" spans="1:18">
      <c r="A3" s="6">
        <v>40</v>
      </c>
      <c r="B3" s="7">
        <v>0.13</v>
      </c>
      <c r="C3">
        <f t="shared" ref="C3:C7" si="0">(A3-65)/65</f>
        <v>-0.38461538461538464</v>
      </c>
      <c r="N3">
        <f>(Q3-65)/65</f>
        <v>-1</v>
      </c>
      <c r="P3" s="2">
        <v>45806</v>
      </c>
      <c r="Q3" s="1">
        <v>0</v>
      </c>
      <c r="R3" s="1">
        <f xml:space="preserve"> $E$2*Q3^7 + $F$2*Q3^6 + $G$2*Q3^5 + $H$2*Q3^4 + $I$2*Q3^3 + $J$2*Q3^2 + $K$2*Q3 + $L$2</f>
        <v>130.0000000000291</v>
      </c>
    </row>
    <row r="4" spans="1:18">
      <c r="A4" s="8">
        <v>54</v>
      </c>
      <c r="B4" s="9">
        <v>0.2</v>
      </c>
      <c r="C4">
        <f t="shared" si="0"/>
        <v>-0.16923076923076924</v>
      </c>
      <c r="N4">
        <f t="shared" ref="N4:N67" si="1">(Q4-65)/65</f>
        <v>-0.98461538461538467</v>
      </c>
      <c r="P4" s="2">
        <v>45807</v>
      </c>
      <c r="Q4" s="1">
        <v>1</v>
      </c>
      <c r="R4" s="1">
        <f t="shared" ref="R4:R38" si="2" xml:space="preserve"> $E$2*N4^7 + $F$2*N4^6 + $G$2*N4^5 + $H$2*N4^4 + $I$2*N4^3 + $J$2*N4^2 + $K$2*N4 + $L$2</f>
        <v>5553186.4066742025</v>
      </c>
    </row>
    <row r="5" spans="1:18">
      <c r="A5" s="6">
        <v>77</v>
      </c>
      <c r="B5" s="7">
        <v>0.62459233000000003</v>
      </c>
      <c r="C5">
        <f t="shared" si="0"/>
        <v>0.18461538461538463</v>
      </c>
      <c r="N5">
        <f t="shared" si="1"/>
        <v>-0.96923076923076923</v>
      </c>
      <c r="P5" s="2">
        <v>45808</v>
      </c>
      <c r="Q5" s="1">
        <v>2</v>
      </c>
      <c r="R5" s="1">
        <f t="shared" si="2"/>
        <v>5134041.5884483336</v>
      </c>
    </row>
    <row r="6" spans="1:18">
      <c r="A6" s="8">
        <v>101</v>
      </c>
      <c r="B6" s="9">
        <v>0.94843983300000001</v>
      </c>
      <c r="C6">
        <f t="shared" si="0"/>
        <v>0.55384615384615388</v>
      </c>
      <c r="N6">
        <f t="shared" si="1"/>
        <v>-0.9538461538461539</v>
      </c>
      <c r="P6" s="2">
        <v>45809</v>
      </c>
      <c r="Q6" s="1">
        <v>3</v>
      </c>
      <c r="R6" s="1">
        <f xml:space="preserve"> $E$2*N6^7 + $F$2*N6^6 + $G$2*N6^5 + $H$2*N6^4 + $I$2*N6^3 + $J$2*N6^2 + $K$2*N6 + $L$2</f>
        <v>4742062.9745688476</v>
      </c>
    </row>
    <row r="7" spans="1:18">
      <c r="A7" s="6">
        <v>115</v>
      </c>
      <c r="B7" s="7">
        <v>0.98403781899999998</v>
      </c>
      <c r="C7">
        <f t="shared" si="0"/>
        <v>0.76923076923076927</v>
      </c>
      <c r="N7">
        <f t="shared" si="1"/>
        <v>-0.93846153846153846</v>
      </c>
      <c r="P7" s="2">
        <v>45810</v>
      </c>
      <c r="Q7" s="1">
        <v>4</v>
      </c>
      <c r="R7" s="1">
        <f t="shared" si="2"/>
        <v>4375781.1519921105</v>
      </c>
    </row>
    <row r="8" spans="1:18">
      <c r="A8" s="8">
        <v>125</v>
      </c>
      <c r="B8" s="9">
        <v>0.5</v>
      </c>
      <c r="C8">
        <f>(A8-65)/65</f>
        <v>0.92307692307692313</v>
      </c>
      <c r="N8">
        <f t="shared" si="1"/>
        <v>-0.92307692307692313</v>
      </c>
      <c r="P8" s="2">
        <v>45811</v>
      </c>
      <c r="Q8" s="1">
        <v>5</v>
      </c>
      <c r="R8" s="1">
        <f t="shared" si="2"/>
        <v>4033790.3625251623</v>
      </c>
    </row>
    <row r="9" spans="1:18">
      <c r="A9" s="10">
        <v>130</v>
      </c>
      <c r="B9" s="11">
        <v>0</v>
      </c>
      <c r="C9">
        <f>(A9-65)/65</f>
        <v>1</v>
      </c>
      <c r="N9">
        <f t="shared" si="1"/>
        <v>-0.90769230769230769</v>
      </c>
      <c r="P9" s="2">
        <v>45812</v>
      </c>
      <c r="Q9" s="1">
        <v>6</v>
      </c>
      <c r="R9" s="1">
        <f t="shared" si="2"/>
        <v>3714746.4330260535</v>
      </c>
    </row>
    <row r="10" spans="1:18">
      <c r="N10">
        <f t="shared" si="1"/>
        <v>-0.89230769230769236</v>
      </c>
      <c r="P10" s="2">
        <v>45813</v>
      </c>
      <c r="Q10" s="1">
        <v>7</v>
      </c>
      <c r="R10" s="1">
        <f t="shared" si="2"/>
        <v>3417364.7504962888</v>
      </c>
    </row>
    <row r="11" spans="1:18">
      <c r="N11">
        <f t="shared" si="1"/>
        <v>-0.87692307692307692</v>
      </c>
      <c r="P11" s="2">
        <v>45814</v>
      </c>
      <c r="Q11" s="1">
        <v>8</v>
      </c>
      <c r="R11" s="1">
        <f t="shared" si="2"/>
        <v>3140418.2815782512</v>
      </c>
    </row>
    <row r="12" spans="1:18">
      <c r="N12">
        <f t="shared" si="1"/>
        <v>-0.86153846153846159</v>
      </c>
      <c r="P12" s="2">
        <v>45815</v>
      </c>
      <c r="Q12" s="1">
        <v>9</v>
      </c>
      <c r="R12" s="1">
        <f t="shared" si="2"/>
        <v>2882735.6359707047</v>
      </c>
    </row>
    <row r="13" spans="1:18">
      <c r="N13">
        <f t="shared" si="1"/>
        <v>-0.84615384615384615</v>
      </c>
      <c r="P13" s="2">
        <v>45816</v>
      </c>
      <c r="Q13" s="1">
        <v>10</v>
      </c>
      <c r="R13" s="1">
        <f t="shared" si="2"/>
        <v>2643199.1732752854</v>
      </c>
    </row>
    <row r="14" spans="1:18">
      <c r="N14">
        <f t="shared" si="1"/>
        <v>-0.83076923076923082</v>
      </c>
      <c r="P14" s="2">
        <v>45817</v>
      </c>
      <c r="Q14" s="1">
        <v>11</v>
      </c>
      <c r="R14" s="1">
        <f t="shared" si="2"/>
        <v>2420743.1527870451</v>
      </c>
    </row>
    <row r="15" spans="1:18">
      <c r="N15">
        <f t="shared" si="1"/>
        <v>-0.81538461538461537</v>
      </c>
      <c r="P15" s="2">
        <v>45818</v>
      </c>
      <c r="Q15" s="1">
        <v>12</v>
      </c>
      <c r="R15" s="1">
        <f t="shared" si="2"/>
        <v>2214351.9257419845</v>
      </c>
    </row>
    <row r="16" spans="1:18">
      <c r="N16">
        <f t="shared" si="1"/>
        <v>-0.8</v>
      </c>
      <c r="P16" s="2">
        <v>45819</v>
      </c>
      <c r="Q16" s="1">
        <v>13</v>
      </c>
      <c r="R16" s="1">
        <f t="shared" si="2"/>
        <v>2023058.1695346131</v>
      </c>
    </row>
    <row r="17" spans="14:18">
      <c r="N17">
        <f t="shared" si="1"/>
        <v>-0.7846153846153846</v>
      </c>
      <c r="P17" s="2">
        <v>45820</v>
      </c>
      <c r="Q17" s="1">
        <v>14</v>
      </c>
      <c r="R17" s="1">
        <f t="shared" si="2"/>
        <v>1845941.1634185002</v>
      </c>
    </row>
    <row r="18" spans="14:18">
      <c r="N18">
        <f t="shared" si="1"/>
        <v>-0.76923076923076927</v>
      </c>
      <c r="P18" s="2">
        <v>45821</v>
      </c>
      <c r="Q18" s="1">
        <v>15</v>
      </c>
      <c r="R18" s="1">
        <f t="shared" si="2"/>
        <v>1682125.1052028402</v>
      </c>
    </row>
    <row r="19" spans="14:18">
      <c r="N19">
        <f t="shared" si="1"/>
        <v>-0.75384615384615383</v>
      </c>
      <c r="P19" s="2">
        <v>45822</v>
      </c>
      <c r="Q19" s="1">
        <v>16</v>
      </c>
      <c r="R19" s="1">
        <f t="shared" si="2"/>
        <v>1530777.4684579868</v>
      </c>
    </row>
    <row r="20" spans="14:18">
      <c r="N20">
        <f t="shared" si="1"/>
        <v>-0.7384615384615385</v>
      </c>
      <c r="P20" s="2">
        <v>45823</v>
      </c>
      <c r="Q20" s="1">
        <v>17</v>
      </c>
      <c r="R20" s="1">
        <f t="shared" si="2"/>
        <v>1391107.3997429979</v>
      </c>
    </row>
    <row r="21" spans="14:18">
      <c r="N21">
        <f t="shared" si="1"/>
        <v>-0.72307692307692306</v>
      </c>
      <c r="P21" s="2">
        <v>45824</v>
      </c>
      <c r="Q21" s="1">
        <v>18</v>
      </c>
      <c r="R21" s="1">
        <f t="shared" si="2"/>
        <v>1262364.1553681435</v>
      </c>
    </row>
    <row r="22" spans="14:18">
      <c r="N22">
        <f t="shared" si="1"/>
        <v>-0.70769230769230773</v>
      </c>
      <c r="P22" s="2">
        <v>45825</v>
      </c>
      <c r="Q22" s="1">
        <v>19</v>
      </c>
      <c r="R22" s="1">
        <f t="shared" si="2"/>
        <v>1143835.5772054058</v>
      </c>
    </row>
    <row r="23" spans="14:18">
      <c r="N23">
        <f t="shared" si="1"/>
        <v>-0.69230769230769229</v>
      </c>
      <c r="P23" s="2">
        <v>45826</v>
      </c>
      <c r="Q23" s="1">
        <v>20</v>
      </c>
      <c r="R23" s="1">
        <f t="shared" si="2"/>
        <v>1034846.6070599271</v>
      </c>
    </row>
    <row r="24" spans="14:18">
      <c r="N24">
        <f t="shared" si="1"/>
        <v>-0.67692307692307696</v>
      </c>
      <c r="P24" s="2">
        <v>45827</v>
      </c>
      <c r="Q24" s="1">
        <v>21</v>
      </c>
      <c r="R24" s="1">
        <f t="shared" si="2"/>
        <v>934757.83911544783</v>
      </c>
    </row>
    <row r="25" spans="14:18">
      <c r="N25">
        <f t="shared" si="1"/>
        <v>-0.66153846153846152</v>
      </c>
      <c r="P25" s="2">
        <v>45828</v>
      </c>
      <c r="Q25" s="1">
        <v>22</v>
      </c>
      <c r="R25" s="1">
        <f t="shared" si="2"/>
        <v>842964.10996667983</v>
      </c>
    </row>
    <row r="26" spans="14:18">
      <c r="N26">
        <f t="shared" si="1"/>
        <v>-0.64615384615384619</v>
      </c>
      <c r="P26" s="2">
        <v>45829</v>
      </c>
      <c r="Q26" s="1">
        <v>23</v>
      </c>
      <c r="R26" s="1">
        <f t="shared" si="2"/>
        <v>758893.12575165136</v>
      </c>
    </row>
    <row r="27" spans="14:18">
      <c r="N27">
        <f t="shared" si="1"/>
        <v>-0.63076923076923075</v>
      </c>
      <c r="P27" s="2">
        <v>45830</v>
      </c>
      <c r="Q27" s="1">
        <v>24</v>
      </c>
      <c r="R27" s="1">
        <f t="shared" si="2"/>
        <v>682004.1258969825</v>
      </c>
    </row>
    <row r="28" spans="14:18">
      <c r="N28">
        <f t="shared" si="1"/>
        <v>-0.61538461538461542</v>
      </c>
      <c r="P28" s="2">
        <v>45831</v>
      </c>
      <c r="Q28" s="1">
        <v>25</v>
      </c>
      <c r="R28" s="1">
        <f t="shared" si="2"/>
        <v>611786.58298911806</v>
      </c>
    </row>
    <row r="29" spans="14:18">
      <c r="N29">
        <f t="shared" si="1"/>
        <v>-0.6</v>
      </c>
      <c r="P29" s="2">
        <v>45832</v>
      </c>
      <c r="Q29" s="1">
        <v>26</v>
      </c>
      <c r="R29" s="1">
        <f t="shared" si="2"/>
        <v>547758.93828448351</v>
      </c>
    </row>
    <row r="30" spans="14:18">
      <c r="N30">
        <f t="shared" si="1"/>
        <v>-0.58461538461538465</v>
      </c>
      <c r="P30" s="2">
        <v>45833</v>
      </c>
      <c r="Q30" s="1">
        <v>27</v>
      </c>
      <c r="R30" s="1">
        <f t="shared" si="2"/>
        <v>489467.37237158057</v>
      </c>
    </row>
    <row r="31" spans="14:18">
      <c r="N31">
        <f t="shared" si="1"/>
        <v>-0.56923076923076921</v>
      </c>
      <c r="P31" s="2">
        <v>45834</v>
      </c>
      <c r="Q31" s="1">
        <v>28</v>
      </c>
      <c r="R31" s="1">
        <f t="shared" si="2"/>
        <v>436484.61049800098</v>
      </c>
    </row>
    <row r="32" spans="14:18">
      <c r="N32">
        <f t="shared" si="1"/>
        <v>-0.55384615384615388</v>
      </c>
      <c r="P32" s="2">
        <v>45835</v>
      </c>
      <c r="Q32" s="1">
        <v>29</v>
      </c>
      <c r="R32" s="1">
        <f t="shared" si="2"/>
        <v>388408.76207536424</v>
      </c>
    </row>
    <row r="33" spans="14:18">
      <c r="N33">
        <f t="shared" si="1"/>
        <v>-0.53846153846153844</v>
      </c>
      <c r="P33" s="2">
        <v>45836</v>
      </c>
      <c r="Q33" s="1">
        <v>30</v>
      </c>
      <c r="R33" s="1">
        <f t="shared" si="2"/>
        <v>344862.19387516484</v>
      </c>
    </row>
    <row r="34" spans="14:18">
      <c r="N34">
        <f t="shared" si="1"/>
        <v>-0.52307692307692311</v>
      </c>
      <c r="P34" s="2">
        <v>45837</v>
      </c>
      <c r="Q34" s="1">
        <v>31</v>
      </c>
      <c r="R34" s="1">
        <f t="shared" si="2"/>
        <v>305490.43642853107</v>
      </c>
    </row>
    <row r="35" spans="14:18">
      <c r="N35">
        <f t="shared" si="1"/>
        <v>-0.50769230769230766</v>
      </c>
      <c r="P35" s="2">
        <v>45838</v>
      </c>
      <c r="Q35" s="1">
        <v>32</v>
      </c>
      <c r="R35" s="1">
        <f t="shared" si="2"/>
        <v>269961.1231428826</v>
      </c>
    </row>
    <row r="36" spans="14:18">
      <c r="N36">
        <f t="shared" si="1"/>
        <v>-0.49230769230769234</v>
      </c>
      <c r="P36" s="2">
        <v>45839</v>
      </c>
      <c r="Q36" s="1">
        <v>33</v>
      </c>
      <c r="R36" s="1">
        <f t="shared" si="2"/>
        <v>237962.96164848626</v>
      </c>
    </row>
    <row r="37" spans="14:18">
      <c r="N37">
        <f t="shared" si="1"/>
        <v>-0.47692307692307695</v>
      </c>
      <c r="P37" s="2">
        <v>45840</v>
      </c>
      <c r="Q37" s="1">
        <v>34</v>
      </c>
      <c r="R37" s="1">
        <f t="shared" si="2"/>
        <v>209204.73688790321</v>
      </c>
    </row>
    <row r="38" spans="14:18">
      <c r="N38">
        <f t="shared" si="1"/>
        <v>-0.46153846153846156</v>
      </c>
      <c r="P38" s="2">
        <v>45841</v>
      </c>
      <c r="Q38" s="1">
        <v>35</v>
      </c>
      <c r="R38" s="1">
        <f t="shared" si="2"/>
        <v>183414.34546131987</v>
      </c>
    </row>
    <row r="39" spans="14:18">
      <c r="N39">
        <f t="shared" si="1"/>
        <v>-0.44615384615384618</v>
      </c>
      <c r="P39" s="2">
        <v>45842</v>
      </c>
      <c r="Q39" s="1">
        <v>36</v>
      </c>
      <c r="R39" s="1">
        <f t="shared" ref="R39:R69" si="3">MAX(0, MIN(1, 4.46572649E-15*Q39^8 - 2.80962072E-12*Q39^7 + 0.00000000069669057*Q39^6
  - 0.0000000879338669*Q39^5 + 0.00000597562048*Q39^4 - 0.000208968938*Q39^3
  + 0.00324713614*Q39^2 - 0.0117376535*Q39 + 3.68757455E-13))</f>
        <v>6.4769688441171869E-2</v>
      </c>
    </row>
    <row r="40" spans="14:18">
      <c r="N40">
        <f t="shared" si="1"/>
        <v>-0.43076923076923079</v>
      </c>
      <c r="P40" s="2">
        <v>45843</v>
      </c>
      <c r="Q40" s="1">
        <v>37</v>
      </c>
      <c r="R40" s="1">
        <f t="shared" si="3"/>
        <v>6.4205746818173093E-2</v>
      </c>
    </row>
    <row r="41" spans="14:18">
      <c r="N41">
        <f t="shared" si="1"/>
        <v>-0.41538461538461541</v>
      </c>
      <c r="P41" s="2">
        <v>45844</v>
      </c>
      <c r="Q41" s="1">
        <v>38</v>
      </c>
      <c r="R41" s="1">
        <f t="shared" si="3"/>
        <v>6.445950028574926E-2</v>
      </c>
    </row>
    <row r="42" spans="14:18">
      <c r="N42">
        <f t="shared" si="1"/>
        <v>-0.4</v>
      </c>
      <c r="P42" s="2">
        <v>45845</v>
      </c>
      <c r="Q42" s="1">
        <v>39</v>
      </c>
      <c r="R42" s="1">
        <f t="shared" si="3"/>
        <v>6.5588988337449361E-2</v>
      </c>
    </row>
    <row r="43" spans="14:18">
      <c r="N43">
        <f t="shared" si="1"/>
        <v>-0.38461538461538464</v>
      </c>
      <c r="P43" s="2">
        <v>45846</v>
      </c>
      <c r="Q43" s="1">
        <v>40</v>
      </c>
      <c r="R43" s="1">
        <f t="shared" si="3"/>
        <v>6.76430113204331E-2</v>
      </c>
    </row>
    <row r="44" spans="14:18">
      <c r="N44">
        <f t="shared" si="1"/>
        <v>-0.36923076923076925</v>
      </c>
      <c r="P44" s="2">
        <v>45847</v>
      </c>
      <c r="Q44" s="1">
        <v>41</v>
      </c>
      <c r="R44" s="1">
        <f t="shared" si="3"/>
        <v>7.0661106987454037E-2</v>
      </c>
    </row>
    <row r="45" spans="14:18">
      <c r="N45">
        <f t="shared" si="1"/>
        <v>-0.35384615384615387</v>
      </c>
      <c r="P45" s="2">
        <v>45848</v>
      </c>
      <c r="Q45" s="1">
        <v>42</v>
      </c>
      <c r="R45" s="1">
        <f t="shared" si="3"/>
        <v>7.4673613386164017E-2</v>
      </c>
    </row>
    <row r="46" spans="14:18">
      <c r="N46">
        <f t="shared" si="1"/>
        <v>-0.33846153846153848</v>
      </c>
      <c r="P46" s="2">
        <v>45849</v>
      </c>
      <c r="Q46" s="1">
        <v>43</v>
      </c>
      <c r="R46" s="1">
        <f t="shared" si="3"/>
        <v>7.9701811037622139E-2</v>
      </c>
    </row>
    <row r="47" spans="14:18">
      <c r="N47">
        <f t="shared" si="1"/>
        <v>-0.32307692307692309</v>
      </c>
      <c r="P47" s="2">
        <v>45850</v>
      </c>
      <c r="Q47" s="1">
        <v>44</v>
      </c>
      <c r="R47" s="1">
        <f t="shared" si="3"/>
        <v>8.5758137535782264E-2</v>
      </c>
    </row>
    <row r="48" spans="14:18">
      <c r="N48">
        <f t="shared" si="1"/>
        <v>-0.30769230769230771</v>
      </c>
      <c r="P48" s="2">
        <v>45851</v>
      </c>
      <c r="Q48" s="1">
        <v>45</v>
      </c>
      <c r="R48" s="1">
        <f t="shared" si="3"/>
        <v>9.284646787998091E-2</v>
      </c>
    </row>
    <row r="49" spans="14:18">
      <c r="N49">
        <f t="shared" si="1"/>
        <v>-0.29230769230769232</v>
      </c>
      <c r="P49" s="2">
        <v>45852</v>
      </c>
      <c r="Q49" s="1">
        <v>46</v>
      </c>
      <c r="R49" s="1">
        <f t="shared" si="3"/>
        <v>0.10096245403229726</v>
      </c>
    </row>
    <row r="50" spans="14:18">
      <c r="N50">
        <f t="shared" si="1"/>
        <v>-0.27692307692307694</v>
      </c>
      <c r="P50" s="2">
        <v>45853</v>
      </c>
      <c r="Q50" s="1">
        <v>47</v>
      </c>
      <c r="R50" s="1">
        <f t="shared" si="3"/>
        <v>0.11009391737193502</v>
      </c>
    </row>
    <row r="51" spans="14:18">
      <c r="N51">
        <f t="shared" si="1"/>
        <v>-0.26153846153846155</v>
      </c>
      <c r="P51" s="2">
        <v>45854</v>
      </c>
      <c r="Q51" s="1">
        <v>48</v>
      </c>
      <c r="R51" s="1">
        <f t="shared" si="3"/>
        <v>0.12022128789862591</v>
      </c>
    </row>
    <row r="52" spans="14:18">
      <c r="N52">
        <f t="shared" si="1"/>
        <v>-0.24615384615384617</v>
      </c>
      <c r="P52" s="2">
        <v>45855</v>
      </c>
      <c r="Q52" s="1">
        <v>49</v>
      </c>
      <c r="R52" s="1">
        <f t="shared" si="3"/>
        <v>0.13131808421726648</v>
      </c>
    </row>
    <row r="53" spans="14:18">
      <c r="N53">
        <f t="shared" si="1"/>
        <v>-0.23076923076923078</v>
      </c>
      <c r="P53" s="2">
        <v>45856</v>
      </c>
      <c r="Q53" s="1">
        <v>50</v>
      </c>
      <c r="R53" s="1">
        <f t="shared" si="3"/>
        <v>0.14335142851599442</v>
      </c>
    </row>
    <row r="54" spans="14:18">
      <c r="N54">
        <f t="shared" si="1"/>
        <v>-0.2153846153846154</v>
      </c>
      <c r="P54" s="2">
        <v>45857</v>
      </c>
      <c r="Q54" s="1">
        <v>51</v>
      </c>
      <c r="R54" s="1">
        <f t="shared" si="3"/>
        <v>0.15628259092996738</v>
      </c>
    </row>
    <row r="55" spans="14:18">
      <c r="N55">
        <f t="shared" si="1"/>
        <v>-0.2</v>
      </c>
      <c r="P55" s="2">
        <v>45858</v>
      </c>
      <c r="Q55" s="1">
        <v>52</v>
      </c>
      <c r="R55" s="1">
        <f t="shared" si="3"/>
        <v>0.17006755786315891</v>
      </c>
    </row>
    <row r="56" spans="14:18">
      <c r="N56">
        <f t="shared" si="1"/>
        <v>-0.18461538461538463</v>
      </c>
      <c r="P56" s="2">
        <v>45859</v>
      </c>
      <c r="Q56" s="1">
        <v>53</v>
      </c>
      <c r="R56" s="1">
        <f t="shared" si="3"/>
        <v>0.18465761902058569</v>
      </c>
    </row>
    <row r="57" spans="14:18">
      <c r="N57">
        <f t="shared" si="1"/>
        <v>-0.16923076923076924</v>
      </c>
      <c r="P57" s="3">
        <v>45860</v>
      </c>
      <c r="Q57" s="1">
        <v>54</v>
      </c>
      <c r="R57" s="1">
        <f t="shared" si="3"/>
        <v>0.19999996808336035</v>
      </c>
    </row>
    <row r="58" spans="14:18">
      <c r="N58">
        <f t="shared" si="1"/>
        <v>-0.15384615384615385</v>
      </c>
      <c r="P58" s="2">
        <v>45861</v>
      </c>
      <c r="Q58" s="1">
        <v>55</v>
      </c>
      <c r="R58" s="1">
        <f t="shared" si="3"/>
        <v>0.2160383121392046</v>
      </c>
    </row>
    <row r="59" spans="14:18">
      <c r="N59">
        <f t="shared" si="1"/>
        <v>-0.13846153846153847</v>
      </c>
      <c r="P59" s="2">
        <v>45862</v>
      </c>
      <c r="Q59" s="1">
        <v>56</v>
      </c>
      <c r="R59" s="1">
        <f t="shared" si="3"/>
        <v>0.23271348516079654</v>
      </c>
    </row>
    <row r="60" spans="14:18">
      <c r="N60">
        <f t="shared" si="1"/>
        <v>-0.12307692307692308</v>
      </c>
      <c r="P60" s="2">
        <v>45863</v>
      </c>
      <c r="Q60" s="1">
        <v>57</v>
      </c>
      <c r="R60" s="1">
        <f t="shared" si="3"/>
        <v>0.24996406100469865</v>
      </c>
    </row>
    <row r="61" spans="14:18">
      <c r="N61">
        <f t="shared" si="1"/>
        <v>-0.1076923076923077</v>
      </c>
      <c r="P61" s="2">
        <v>45864</v>
      </c>
      <c r="Q61" s="1">
        <v>58</v>
      </c>
      <c r="R61" s="1">
        <f t="shared" si="3"/>
        <v>0.26772696158350512</v>
      </c>
    </row>
    <row r="62" spans="14:18">
      <c r="N62">
        <f t="shared" si="1"/>
        <v>-9.2307692307692313E-2</v>
      </c>
      <c r="P62" s="2">
        <v>45865</v>
      </c>
      <c r="Q62" s="1">
        <v>59</v>
      </c>
      <c r="R62" s="1">
        <f t="shared" si="3"/>
        <v>0.28593805604399786</v>
      </c>
    </row>
    <row r="63" spans="14:18">
      <c r="N63">
        <f t="shared" si="1"/>
        <v>-7.6923076923076927E-2</v>
      </c>
      <c r="P63" s="2">
        <v>45866</v>
      </c>
      <c r="Q63" s="1">
        <v>60</v>
      </c>
      <c r="R63" s="1">
        <f t="shared" si="3"/>
        <v>0.3045327469639531</v>
      </c>
    </row>
    <row r="64" spans="14:18">
      <c r="N64">
        <f t="shared" si="1"/>
        <v>-6.1538461538461542E-2</v>
      </c>
      <c r="P64" s="2">
        <v>45867</v>
      </c>
      <c r="Q64" s="1">
        <v>61</v>
      </c>
      <c r="R64" s="1">
        <f t="shared" si="3"/>
        <v>0.32344653976069909</v>
      </c>
    </row>
    <row r="65" spans="14:18">
      <c r="N65">
        <f t="shared" si="1"/>
        <v>-4.6153846153846156E-2</v>
      </c>
      <c r="P65" s="2">
        <v>45868</v>
      </c>
      <c r="Q65" s="1">
        <v>62</v>
      </c>
      <c r="R65" s="1">
        <f t="shared" si="3"/>
        <v>0.34261559168406136</v>
      </c>
    </row>
    <row r="66" spans="14:18">
      <c r="N66">
        <f t="shared" si="1"/>
        <v>-3.0769230769230771E-2</v>
      </c>
      <c r="P66" s="2">
        <v>45869</v>
      </c>
      <c r="Q66" s="1">
        <v>63</v>
      </c>
      <c r="R66" s="1">
        <f t="shared" si="3"/>
        <v>0.3619772369468352</v>
      </c>
    </row>
    <row r="67" spans="14:18">
      <c r="N67">
        <f t="shared" si="1"/>
        <v>-1.5384615384615385E-2</v>
      </c>
      <c r="P67" s="2">
        <v>45870</v>
      </c>
      <c r="Q67" s="1">
        <v>64</v>
      </c>
      <c r="R67" s="1">
        <f t="shared" si="3"/>
        <v>0.38147048472580741</v>
      </c>
    </row>
    <row r="68" spans="14:18">
      <c r="N68">
        <f t="shared" ref="N68:N131" si="4">(Q68-65)/65</f>
        <v>0</v>
      </c>
      <c r="P68" s="2">
        <v>45871</v>
      </c>
      <c r="Q68" s="1">
        <v>65</v>
      </c>
      <c r="R68" s="1">
        <f t="shared" si="3"/>
        <v>0.40103648694632471</v>
      </c>
    </row>
    <row r="69" spans="14:18">
      <c r="N69">
        <f t="shared" si="4"/>
        <v>1.5384615384615385E-2</v>
      </c>
      <c r="P69" s="2">
        <v>45872</v>
      </c>
      <c r="Q69" s="1">
        <v>66</v>
      </c>
      <c r="R69" s="1">
        <f t="shared" si="3"/>
        <v>0.42061897294365841</v>
      </c>
    </row>
    <row r="70" spans="14:18">
      <c r="N70">
        <f t="shared" si="4"/>
        <v>3.0769230769230771E-2</v>
      </c>
      <c r="P70" s="2">
        <v>45873</v>
      </c>
      <c r="Q70" s="1">
        <v>67</v>
      </c>
      <c r="R70" s="1">
        <f t="shared" ref="R70:R133" si="5">MAX(0, MIN(1, 4.46572649E-15*Q70^8 - 2.80962072E-12*Q70^7 + 0.00000000069669057*Q70^6
  - 0.0000000879338669*Q70^5 + 0.00000597562048*Q70^4 - 0.000208968938*Q70^3
  + 0.00324713614*Q70^2 - 0.0117376535*Q70 + 3.68757455E-13))</f>
        <v>0.44016464827413609</v>
      </c>
    </row>
    <row r="71" spans="14:18">
      <c r="N71">
        <f t="shared" si="4"/>
        <v>4.6153846153846156E-2</v>
      </c>
      <c r="P71" s="2">
        <v>45874</v>
      </c>
      <c r="Q71" s="1">
        <v>68</v>
      </c>
      <c r="R71" s="1">
        <f t="shared" si="5"/>
        <v>0.45962355512981751</v>
      </c>
    </row>
    <row r="72" spans="14:18">
      <c r="N72">
        <f t="shared" si="4"/>
        <v>6.1538461538461542E-2</v>
      </c>
      <c r="P72" s="2">
        <v>45875</v>
      </c>
      <c r="Q72" s="1">
        <v>69</v>
      </c>
      <c r="R72" s="1">
        <f t="shared" si="5"/>
        <v>0.47894939198931591</v>
      </c>
    </row>
    <row r="73" spans="14:18">
      <c r="N73">
        <f t="shared" si="4"/>
        <v>7.6923076923076927E-2</v>
      </c>
      <c r="P73" s="2">
        <v>45876</v>
      </c>
      <c r="Q73" s="1">
        <v>70</v>
      </c>
      <c r="R73" s="1">
        <f t="shared" si="5"/>
        <v>0.49809979031861501</v>
      </c>
    </row>
    <row r="74" spans="14:18">
      <c r="N74">
        <f t="shared" si="4"/>
        <v>9.2307692307692313E-2</v>
      </c>
      <c r="P74" s="2">
        <v>45877</v>
      </c>
      <c r="Q74" s="1">
        <v>71</v>
      </c>
      <c r="R74" s="1">
        <f t="shared" si="5"/>
        <v>0.51703654631540641</v>
      </c>
    </row>
    <row r="75" spans="14:18">
      <c r="N75">
        <f t="shared" si="4"/>
        <v>0.1076923076923077</v>
      </c>
      <c r="P75" s="2">
        <v>45878</v>
      </c>
      <c r="Q75" s="1">
        <v>72</v>
      </c>
      <c r="R75" s="1">
        <f t="shared" si="5"/>
        <v>0.53572580586990803</v>
      </c>
    </row>
    <row r="76" spans="14:18">
      <c r="N76">
        <f t="shared" si="4"/>
        <v>0.12307692307692308</v>
      </c>
      <c r="P76" s="2">
        <v>45879</v>
      </c>
      <c r="Q76" s="1">
        <v>73</v>
      </c>
      <c r="R76" s="1">
        <f t="shared" si="5"/>
        <v>0.55413820109644096</v>
      </c>
    </row>
    <row r="77" spans="14:18">
      <c r="N77">
        <f t="shared" si="4"/>
        <v>0.13846153846153847</v>
      </c>
      <c r="P77" s="2">
        <v>45880</v>
      </c>
      <c r="Q77" s="1">
        <v>74</v>
      </c>
      <c r="R77" s="1">
        <f t="shared" si="5"/>
        <v>0.57224893696850387</v>
      </c>
    </row>
    <row r="78" spans="14:18">
      <c r="N78">
        <f t="shared" si="4"/>
        <v>0.15384615384615385</v>
      </c>
      <c r="P78" s="2">
        <v>45881</v>
      </c>
      <c r="Q78" s="1">
        <v>75</v>
      </c>
      <c r="R78" s="1">
        <f t="shared" si="5"/>
        <v>0.59003782677191563</v>
      </c>
    </row>
    <row r="79" spans="14:18">
      <c r="N79">
        <f t="shared" si="4"/>
        <v>0.16923076923076924</v>
      </c>
      <c r="P79" s="2">
        <v>45882</v>
      </c>
      <c r="Q79" s="1">
        <v>76</v>
      </c>
      <c r="R79" s="1">
        <f t="shared" si="5"/>
        <v>0.60748927526893148</v>
      </c>
    </row>
    <row r="80" spans="14:18">
      <c r="N80">
        <f t="shared" si="4"/>
        <v>0.18461538461538463</v>
      </c>
      <c r="P80" s="3">
        <v>45883</v>
      </c>
      <c r="Q80" s="1">
        <v>77</v>
      </c>
      <c r="R80" s="1">
        <f t="shared" si="5"/>
        <v>0.62459220864799125</v>
      </c>
    </row>
    <row r="81" spans="14:18">
      <c r="N81">
        <f t="shared" si="4"/>
        <v>0.2</v>
      </c>
      <c r="P81" s="2">
        <v>45884</v>
      </c>
      <c r="Q81" s="1">
        <v>78</v>
      </c>
      <c r="R81" s="1">
        <f t="shared" si="5"/>
        <v>0.64133995051174353</v>
      </c>
    </row>
    <row r="82" spans="14:18">
      <c r="N82">
        <f t="shared" si="4"/>
        <v>0.2153846153846154</v>
      </c>
      <c r="P82" s="2">
        <v>45885</v>
      </c>
      <c r="Q82" s="1">
        <v>79</v>
      </c>
      <c r="R82" s="1">
        <f t="shared" si="5"/>
        <v>0.65773004333866336</v>
      </c>
    </row>
    <row r="83" spans="14:18">
      <c r="N83">
        <f t="shared" si="4"/>
        <v>0.23076923076923078</v>
      </c>
      <c r="P83" s="2">
        <v>45886</v>
      </c>
      <c r="Q83" s="1">
        <v>80</v>
      </c>
      <c r="R83" s="1">
        <f t="shared" si="5"/>
        <v>0.67376401503111361</v>
      </c>
    </row>
    <row r="84" spans="14:18">
      <c r="N84">
        <f t="shared" si="4"/>
        <v>0.24615384615384617</v>
      </c>
      <c r="P84" s="2">
        <v>45887</v>
      </c>
      <c r="Q84" s="1">
        <v>81</v>
      </c>
      <c r="R84" s="1">
        <f t="shared" si="5"/>
        <v>0.68944709034430762</v>
      </c>
    </row>
    <row r="85" spans="14:18">
      <c r="N85">
        <f t="shared" si="4"/>
        <v>0.26153846153846155</v>
      </c>
      <c r="P85" s="2">
        <v>45888</v>
      </c>
      <c r="Q85" s="1">
        <v>82</v>
      </c>
      <c r="R85" s="1">
        <f t="shared" si="5"/>
        <v>0.70478784716991172</v>
      </c>
    </row>
    <row r="86" spans="14:18">
      <c r="N86">
        <f t="shared" si="4"/>
        <v>0.27692307692307694</v>
      </c>
      <c r="P86" s="2">
        <v>45889</v>
      </c>
      <c r="Q86" s="1">
        <v>83</v>
      </c>
      <c r="R86" s="1">
        <f t="shared" si="5"/>
        <v>0.71979781782946273</v>
      </c>
    </row>
    <row r="87" spans="14:18">
      <c r="N87">
        <f t="shared" si="4"/>
        <v>0.29230769230769232</v>
      </c>
      <c r="P87" s="2">
        <v>45890</v>
      </c>
      <c r="Q87" s="1">
        <v>84</v>
      </c>
      <c r="R87" s="1">
        <f t="shared" si="5"/>
        <v>0.73449103571029106</v>
      </c>
    </row>
    <row r="88" spans="14:18">
      <c r="N88">
        <f t="shared" si="4"/>
        <v>0.30769230769230771</v>
      </c>
      <c r="P88" s="2">
        <v>45891</v>
      </c>
      <c r="Q88" s="1">
        <v>85</v>
      </c>
      <c r="R88" s="1">
        <f t="shared" si="5"/>
        <v>0.74888352775901812</v>
      </c>
    </row>
    <row r="89" spans="14:18">
      <c r="N89">
        <f t="shared" si="4"/>
        <v>0.32307692307692309</v>
      </c>
      <c r="P89" s="2">
        <v>45892</v>
      </c>
      <c r="Q89" s="1">
        <v>86</v>
      </c>
      <c r="R89" s="1">
        <f t="shared" si="5"/>
        <v>0.76299275352731855</v>
      </c>
    </row>
    <row r="90" spans="14:18">
      <c r="N90">
        <f t="shared" si="4"/>
        <v>0.33846153846153848</v>
      </c>
      <c r="P90" s="2">
        <v>45893</v>
      </c>
      <c r="Q90" s="1">
        <v>87</v>
      </c>
      <c r="R90" s="1">
        <f t="shared" si="5"/>
        <v>0.7768369916431227</v>
      </c>
    </row>
    <row r="91" spans="14:18">
      <c r="N91">
        <f t="shared" si="4"/>
        <v>0.35384615384615387</v>
      </c>
      <c r="P91" s="2">
        <v>45894</v>
      </c>
      <c r="Q91" s="1">
        <v>88</v>
      </c>
      <c r="R91" s="1">
        <f t="shared" si="5"/>
        <v>0.7904346747630796</v>
      </c>
    </row>
    <row r="92" spans="14:18">
      <c r="N92">
        <f t="shared" si="4"/>
        <v>0.36923076923076925</v>
      </c>
      <c r="P92" s="2">
        <v>45895</v>
      </c>
      <c r="Q92" s="1">
        <v>89</v>
      </c>
      <c r="R92" s="1">
        <f t="shared" si="5"/>
        <v>0.80380367423960142</v>
      </c>
    </row>
    <row r="93" spans="14:18">
      <c r="N93">
        <f t="shared" si="4"/>
        <v>0.38461538461538464</v>
      </c>
      <c r="P93" s="2">
        <v>45896</v>
      </c>
      <c r="Q93" s="1">
        <v>90</v>
      </c>
      <c r="R93" s="1">
        <f t="shared" si="5"/>
        <v>0.81696053591748907</v>
      </c>
    </row>
    <row r="94" spans="14:18">
      <c r="N94">
        <f t="shared" si="4"/>
        <v>0.4</v>
      </c>
      <c r="P94" s="2">
        <v>45897</v>
      </c>
      <c r="Q94" s="1">
        <v>91</v>
      </c>
      <c r="R94" s="1">
        <f t="shared" si="5"/>
        <v>0.82991966865512989</v>
      </c>
    </row>
    <row r="95" spans="14:18">
      <c r="N95">
        <f t="shared" si="4"/>
        <v>0.41538461538461541</v>
      </c>
      <c r="P95" s="2">
        <v>45898</v>
      </c>
      <c r="Q95" s="1">
        <v>92</v>
      </c>
      <c r="R95" s="1">
        <f t="shared" si="5"/>
        <v>0.84269248734425795</v>
      </c>
    </row>
    <row r="96" spans="14:18">
      <c r="N96">
        <f t="shared" si="4"/>
        <v>0.43076923076923079</v>
      </c>
      <c r="P96" s="2">
        <v>45899</v>
      </c>
      <c r="Q96" s="1">
        <v>93</v>
      </c>
      <c r="R96" s="1">
        <f t="shared" si="5"/>
        <v>0.85528651238296949</v>
      </c>
    </row>
    <row r="97" spans="14:18">
      <c r="N97">
        <f t="shared" si="4"/>
        <v>0.44615384615384618</v>
      </c>
      <c r="P97" s="2">
        <v>45900</v>
      </c>
      <c r="Q97" s="1">
        <v>94</v>
      </c>
      <c r="R97" s="1">
        <f t="shared" si="5"/>
        <v>0.8677044277376541</v>
      </c>
    </row>
    <row r="98" spans="14:18">
      <c r="N98">
        <f t="shared" si="4"/>
        <v>0.46153846153846156</v>
      </c>
      <c r="P98" s="2">
        <v>45901</v>
      </c>
      <c r="Q98" s="1">
        <v>95</v>
      </c>
      <c r="R98" s="1">
        <f t="shared" si="5"/>
        <v>0.87994309990754271</v>
      </c>
    </row>
    <row r="99" spans="14:18">
      <c r="N99">
        <f t="shared" si="4"/>
        <v>0.47692307692307695</v>
      </c>
      <c r="P99" s="2">
        <v>45902</v>
      </c>
      <c r="Q99" s="1">
        <v>96</v>
      </c>
      <c r="R99" s="1">
        <f t="shared" si="5"/>
        <v>0.89199256028733409</v>
      </c>
    </row>
    <row r="100" spans="14:18">
      <c r="N100">
        <f t="shared" si="4"/>
        <v>0.49230769230769234</v>
      </c>
      <c r="P100" s="2">
        <v>45903</v>
      </c>
      <c r="Q100" s="1">
        <v>97</v>
      </c>
      <c r="R100" s="1">
        <f t="shared" si="5"/>
        <v>0.90383495360371857</v>
      </c>
    </row>
    <row r="101" spans="14:18">
      <c r="N101">
        <f t="shared" si="4"/>
        <v>0.50769230769230766</v>
      </c>
      <c r="P101" s="2">
        <v>45904</v>
      </c>
      <c r="Q101" s="1">
        <v>98</v>
      </c>
      <c r="R101" s="1">
        <f t="shared" si="5"/>
        <v>0.9154434552779992</v>
      </c>
    </row>
    <row r="102" spans="14:18">
      <c r="N102">
        <f t="shared" si="4"/>
        <v>0.52307692307692311</v>
      </c>
      <c r="P102" s="2">
        <v>45905</v>
      </c>
      <c r="Q102" s="1">
        <v>99</v>
      </c>
      <c r="R102" s="1">
        <f t="shared" si="5"/>
        <v>0.92678116075349604</v>
      </c>
    </row>
    <row r="103" spans="14:18">
      <c r="N103">
        <f t="shared" si="4"/>
        <v>0.53846153846153844</v>
      </c>
      <c r="P103" s="2">
        <v>45906</v>
      </c>
      <c r="Q103" s="1">
        <v>100</v>
      </c>
      <c r="R103" s="1">
        <f t="shared" si="5"/>
        <v>0.93779995000032834</v>
      </c>
    </row>
    <row r="104" spans="14:18">
      <c r="N104">
        <f t="shared" si="4"/>
        <v>0.55384615384615388</v>
      </c>
      <c r="P104" s="3">
        <v>45907</v>
      </c>
      <c r="Q104" s="1">
        <v>101</v>
      </c>
      <c r="R104" s="1">
        <f t="shared" si="5"/>
        <v>0.94843933059347496</v>
      </c>
    </row>
    <row r="105" spans="14:18">
      <c r="N105">
        <f t="shared" si="4"/>
        <v>0.56923076923076921</v>
      </c>
      <c r="P105" s="2">
        <v>45908</v>
      </c>
      <c r="Q105" s="1">
        <v>102</v>
      </c>
      <c r="R105" s="1">
        <f t="shared" si="5"/>
        <v>0.9586252629393367</v>
      </c>
    </row>
    <row r="106" spans="14:18">
      <c r="N106">
        <f t="shared" si="4"/>
        <v>0.58461538461538465</v>
      </c>
      <c r="P106" s="2">
        <v>45909</v>
      </c>
      <c r="Q106" s="1">
        <v>103</v>
      </c>
      <c r="R106" s="1">
        <f t="shared" si="5"/>
        <v>0.968268971406964</v>
      </c>
    </row>
    <row r="107" spans="14:18">
      <c r="N107">
        <f t="shared" si="4"/>
        <v>0.6</v>
      </c>
      <c r="P107" s="2">
        <v>45910</v>
      </c>
      <c r="Q107" s="1">
        <v>104</v>
      </c>
      <c r="R107" s="1">
        <f t="shared" si="5"/>
        <v>0.97726574529651267</v>
      </c>
    </row>
    <row r="108" spans="14:18">
      <c r="N108">
        <f t="shared" si="4"/>
        <v>0.61538461538461542</v>
      </c>
      <c r="P108" s="2">
        <v>45911</v>
      </c>
      <c r="Q108" s="1">
        <v>105</v>
      </c>
      <c r="R108" s="1">
        <f t="shared" si="5"/>
        <v>0.98549373376589788</v>
      </c>
    </row>
    <row r="109" spans="14:18">
      <c r="N109">
        <f t="shared" si="4"/>
        <v>0.63076923076923075</v>
      </c>
      <c r="P109" s="2">
        <v>45912</v>
      </c>
      <c r="Q109" s="1">
        <v>106</v>
      </c>
      <c r="R109" s="1">
        <f t="shared" si="5"/>
        <v>0.99281273900254974</v>
      </c>
    </row>
    <row r="110" spans="14:18">
      <c r="N110">
        <f t="shared" si="4"/>
        <v>0.64615384615384619</v>
      </c>
      <c r="P110" s="2">
        <v>45913</v>
      </c>
      <c r="Q110" s="1">
        <v>107</v>
      </c>
      <c r="R110" s="1">
        <f t="shared" si="5"/>
        <v>0.99906301212479687</v>
      </c>
    </row>
    <row r="111" spans="14:18">
      <c r="N111">
        <f t="shared" si="4"/>
        <v>0.66153846153846152</v>
      </c>
      <c r="P111" s="2">
        <v>45914</v>
      </c>
      <c r="Q111" s="1">
        <v>108</v>
      </c>
      <c r="R111" s="1">
        <f t="shared" si="5"/>
        <v>1</v>
      </c>
    </row>
    <row r="112" spans="14:18">
      <c r="N112">
        <f t="shared" si="4"/>
        <v>0.67692307692307696</v>
      </c>
      <c r="P112" s="2">
        <v>45915</v>
      </c>
      <c r="Q112" s="1">
        <v>109</v>
      </c>
      <c r="R112" s="1">
        <f t="shared" si="5"/>
        <v>1</v>
      </c>
    </row>
    <row r="113" spans="14:18">
      <c r="N113">
        <f t="shared" si="4"/>
        <v>0.69230769230769229</v>
      </c>
      <c r="P113" s="2">
        <v>45916</v>
      </c>
      <c r="Q113" s="1">
        <v>110</v>
      </c>
      <c r="R113" s="1">
        <f t="shared" si="5"/>
        <v>1</v>
      </c>
    </row>
    <row r="114" spans="14:18">
      <c r="N114">
        <f t="shared" si="4"/>
        <v>0.70769230769230773</v>
      </c>
      <c r="P114" s="2">
        <v>45917</v>
      </c>
      <c r="Q114" s="1">
        <v>111</v>
      </c>
      <c r="R114" s="1">
        <f t="shared" si="5"/>
        <v>1</v>
      </c>
    </row>
    <row r="115" spans="14:18">
      <c r="N115">
        <f t="shared" si="4"/>
        <v>0.72307692307692306</v>
      </c>
      <c r="P115" s="2">
        <v>45918</v>
      </c>
      <c r="Q115" s="1">
        <v>112</v>
      </c>
      <c r="R115" s="1">
        <f t="shared" si="5"/>
        <v>1</v>
      </c>
    </row>
    <row r="116" spans="14:18">
      <c r="N116">
        <f t="shared" si="4"/>
        <v>0.7384615384615385</v>
      </c>
      <c r="P116" s="2">
        <v>45919</v>
      </c>
      <c r="Q116" s="1">
        <v>113</v>
      </c>
      <c r="R116" s="1">
        <f t="shared" si="5"/>
        <v>1</v>
      </c>
    </row>
    <row r="117" spans="14:18">
      <c r="N117">
        <f t="shared" si="4"/>
        <v>0.75384615384615383</v>
      </c>
      <c r="P117" s="2">
        <v>45920</v>
      </c>
      <c r="Q117" s="1">
        <v>114</v>
      </c>
      <c r="R117" s="1">
        <f t="shared" si="5"/>
        <v>0.99482023919354134</v>
      </c>
    </row>
    <row r="118" spans="14:18">
      <c r="N118">
        <f t="shared" si="4"/>
        <v>0.76923076923076927</v>
      </c>
      <c r="P118" s="3">
        <v>45921</v>
      </c>
      <c r="Q118" s="1">
        <v>115</v>
      </c>
      <c r="R118" s="1">
        <f t="shared" si="5"/>
        <v>0.98403667100535952</v>
      </c>
    </row>
    <row r="119" spans="14:18">
      <c r="N119">
        <f t="shared" si="4"/>
        <v>0.7846153846153846</v>
      </c>
      <c r="P119" s="2">
        <v>45922</v>
      </c>
      <c r="Q119" s="1">
        <v>116</v>
      </c>
      <c r="R119" s="1">
        <f t="shared" si="5"/>
        <v>0.96967580604199377</v>
      </c>
    </row>
    <row r="120" spans="14:18">
      <c r="N120">
        <f t="shared" si="4"/>
        <v>0.8</v>
      </c>
      <c r="P120" s="2">
        <v>45923</v>
      </c>
      <c r="Q120" s="1">
        <v>117</v>
      </c>
      <c r="R120" s="1">
        <f t="shared" si="5"/>
        <v>0.95132031933799699</v>
      </c>
    </row>
    <row r="121" spans="14:18">
      <c r="N121">
        <f t="shared" si="4"/>
        <v>0.81538461538461537</v>
      </c>
      <c r="P121" s="2">
        <v>45924</v>
      </c>
      <c r="Q121" s="1">
        <v>118</v>
      </c>
      <c r="R121" s="1">
        <f t="shared" si="5"/>
        <v>0.92852172988425352</v>
      </c>
    </row>
    <row r="122" spans="14:18">
      <c r="N122">
        <f t="shared" si="4"/>
        <v>0.83076923076923082</v>
      </c>
      <c r="P122" s="2">
        <v>45925</v>
      </c>
      <c r="Q122" s="1">
        <v>119</v>
      </c>
      <c r="R122" s="1">
        <f t="shared" si="5"/>
        <v>0.90079964387064149</v>
      </c>
    </row>
    <row r="123" spans="14:18">
      <c r="N123">
        <f t="shared" si="4"/>
        <v>0.84615384615384615</v>
      </c>
      <c r="P123" s="2">
        <v>45926</v>
      </c>
      <c r="Q123" s="1">
        <v>120</v>
      </c>
      <c r="R123" s="1">
        <f t="shared" si="5"/>
        <v>0.86764107521560796</v>
      </c>
    </row>
    <row r="124" spans="14:18">
      <c r="N124">
        <f t="shared" si="4"/>
        <v>0.86153846153846159</v>
      </c>
      <c r="P124" s="2">
        <v>45927</v>
      </c>
      <c r="Q124" s="1">
        <v>121</v>
      </c>
      <c r="R124" s="1">
        <f t="shared" si="5"/>
        <v>0.82849985038604335</v>
      </c>
    </row>
    <row r="125" spans="14:18">
      <c r="N125">
        <f t="shared" si="4"/>
        <v>0.87692307692307692</v>
      </c>
      <c r="P125" s="2">
        <v>45928</v>
      </c>
      <c r="Q125" s="1">
        <v>122</v>
      </c>
      <c r="R125" s="1">
        <f t="shared" si="5"/>
        <v>0.78279610468746086</v>
      </c>
    </row>
    <row r="126" spans="14:18">
      <c r="N126">
        <f t="shared" si="4"/>
        <v>0.89230769230769236</v>
      </c>
      <c r="P126" s="2">
        <v>45929</v>
      </c>
      <c r="Q126" s="1">
        <v>123</v>
      </c>
      <c r="R126" s="1">
        <f t="shared" si="5"/>
        <v>0.72991587736838082</v>
      </c>
    </row>
    <row r="127" spans="14:18">
      <c r="N127">
        <f t="shared" si="4"/>
        <v>0.90769230769230769</v>
      </c>
      <c r="P127" s="2">
        <v>45930</v>
      </c>
      <c r="Q127" s="1">
        <v>124</v>
      </c>
      <c r="R127" s="1">
        <f t="shared" si="5"/>
        <v>0.66921081308641839</v>
      </c>
    </row>
    <row r="128" spans="14:18">
      <c r="N128">
        <f t="shared" si="4"/>
        <v>0.92307692307692313</v>
      </c>
      <c r="P128" s="2">
        <v>45931</v>
      </c>
      <c r="Q128" s="1">
        <v>125</v>
      </c>
      <c r="R128" s="1">
        <f t="shared" si="5"/>
        <v>0.59999797745567396</v>
      </c>
    </row>
    <row r="129" spans="14:18">
      <c r="N129">
        <f t="shared" si="4"/>
        <v>0.93846153846153846</v>
      </c>
      <c r="P129" s="2">
        <v>45932</v>
      </c>
      <c r="Q129" s="1">
        <v>126</v>
      </c>
      <c r="R129" s="1">
        <f t="shared" si="5"/>
        <v>0.52155979455129498</v>
      </c>
    </row>
    <row r="130" spans="14:18">
      <c r="N130">
        <f t="shared" si="4"/>
        <v>0.9538461538461539</v>
      </c>
      <c r="P130" s="2">
        <v>45933</v>
      </c>
      <c r="Q130" s="1">
        <v>127</v>
      </c>
      <c r="R130" s="1">
        <f t="shared" si="5"/>
        <v>0.43314411447783402</v>
      </c>
    </row>
    <row r="131" spans="14:18">
      <c r="N131">
        <f t="shared" si="4"/>
        <v>0.96923076923076923</v>
      </c>
      <c r="P131" s="2">
        <v>45934</v>
      </c>
      <c r="Q131" s="1">
        <v>128</v>
      </c>
      <c r="R131" s="1">
        <f t="shared" si="5"/>
        <v>0.33396441923269221</v>
      </c>
    </row>
    <row r="132" spans="14:18">
      <c r="N132">
        <f t="shared" ref="N132:N133" si="6">(Q132-65)/65</f>
        <v>0.98461538461538467</v>
      </c>
      <c r="P132" s="2">
        <v>45935</v>
      </c>
      <c r="Q132" s="1">
        <v>129</v>
      </c>
      <c r="R132" s="1">
        <f t="shared" si="5"/>
        <v>0.22320017531357744</v>
      </c>
    </row>
    <row r="133" spans="14:18">
      <c r="N133">
        <f t="shared" si="6"/>
        <v>1</v>
      </c>
      <c r="P133" s="2">
        <v>45936</v>
      </c>
      <c r="Q133" s="1">
        <v>130</v>
      </c>
      <c r="R133" s="1">
        <f t="shared" si="5"/>
        <v>9.9997341687715735E-2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17F529-B02E-4B10-A893-E962E07216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User1</dc:creator>
  <cp:keywords/>
  <dc:description/>
  <cp:lastModifiedBy>Alaa Jamal</cp:lastModifiedBy>
  <cp:revision/>
  <dcterms:created xsi:type="dcterms:W3CDTF">2025-10-30T09:40:17Z</dcterms:created>
  <dcterms:modified xsi:type="dcterms:W3CDTF">2025-11-09T12:12:59Z</dcterms:modified>
  <cp:category/>
  <cp:contentStatus/>
</cp:coreProperties>
</file>