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9_{3C7D72DA-3DED-4D1E-BC11-F78130A91421}" xr6:coauthVersionLast="47" xr6:coauthVersionMax="47" xr10:uidLastSave="{00000000-0000-0000-0000-000000000000}"/>
  <bookViews>
    <workbookView xWindow="-120" yWindow="-120" windowWidth="38640" windowHeight="21120" xr2:uid="{F2FF9721-3FF5-4BBC-9795-04B5B62DFA9F}"/>
  </bookViews>
  <sheets>
    <sheet name="Irrigation + ALL Elemental Fra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2" i="1" l="1"/>
  <c r="I433" i="1"/>
  <c r="I364" i="1"/>
  <c r="I312" i="1"/>
  <c r="I276" i="1"/>
  <c r="I242" i="1"/>
  <c r="I202" i="1"/>
  <c r="I27" i="1"/>
  <c r="J140" i="1"/>
  <c r="H480" i="1"/>
  <c r="G480" i="1"/>
  <c r="F480" i="1"/>
  <c r="E480" i="1"/>
  <c r="H473" i="1"/>
  <c r="G473" i="1"/>
  <c r="F473" i="1"/>
  <c r="E473" i="1"/>
  <c r="H472" i="1"/>
  <c r="G472" i="1"/>
  <c r="F472" i="1"/>
  <c r="E472" i="1"/>
  <c r="H471" i="1"/>
  <c r="G471" i="1"/>
  <c r="F471" i="1"/>
  <c r="E471" i="1"/>
  <c r="H468" i="1"/>
  <c r="G468" i="1"/>
  <c r="F468" i="1"/>
  <c r="E468" i="1"/>
  <c r="H465" i="1"/>
  <c r="G465" i="1"/>
  <c r="F465" i="1"/>
  <c r="E465" i="1"/>
  <c r="H461" i="1"/>
  <c r="G461" i="1"/>
  <c r="F461" i="1"/>
  <c r="E461" i="1"/>
  <c r="H457" i="1"/>
  <c r="G457" i="1"/>
  <c r="F457" i="1"/>
  <c r="E457" i="1"/>
  <c r="H446" i="1"/>
  <c r="G446" i="1"/>
  <c r="F446" i="1"/>
  <c r="E446" i="1"/>
  <c r="H442" i="1"/>
  <c r="G442" i="1"/>
  <c r="F442" i="1"/>
  <c r="E442" i="1"/>
  <c r="H437" i="1"/>
  <c r="G437" i="1"/>
  <c r="F437" i="1"/>
  <c r="E437" i="1"/>
  <c r="H431" i="1"/>
  <c r="G431" i="1"/>
  <c r="F431" i="1"/>
  <c r="E431" i="1"/>
  <c r="H426" i="1"/>
  <c r="G426" i="1"/>
  <c r="F426" i="1"/>
  <c r="E426" i="1"/>
  <c r="H412" i="1"/>
  <c r="G412" i="1"/>
  <c r="F412" i="1"/>
  <c r="E412" i="1"/>
  <c r="H407" i="1"/>
  <c r="G407" i="1"/>
  <c r="F407" i="1"/>
  <c r="E407" i="1"/>
  <c r="H402" i="1"/>
  <c r="G402" i="1"/>
  <c r="F402" i="1"/>
  <c r="E402" i="1"/>
  <c r="H397" i="1"/>
  <c r="G397" i="1"/>
  <c r="F397" i="1"/>
  <c r="E397" i="1"/>
  <c r="H392" i="1"/>
  <c r="G392" i="1"/>
  <c r="F392" i="1"/>
  <c r="E392" i="1"/>
  <c r="H379" i="1"/>
  <c r="G379" i="1"/>
  <c r="F379" i="1"/>
  <c r="E379" i="1"/>
  <c r="H373" i="1"/>
  <c r="G373" i="1"/>
  <c r="F373" i="1"/>
  <c r="E373" i="1"/>
  <c r="H368" i="1"/>
  <c r="G368" i="1"/>
  <c r="F368" i="1"/>
  <c r="E368" i="1"/>
  <c r="H362" i="1"/>
  <c r="G362" i="1"/>
  <c r="F362" i="1"/>
  <c r="E362" i="1"/>
  <c r="H344" i="1"/>
  <c r="G344" i="1"/>
  <c r="F344" i="1"/>
  <c r="E344" i="1"/>
  <c r="H347" i="1"/>
  <c r="G347" i="1"/>
  <c r="F347" i="1"/>
  <c r="E347" i="1"/>
  <c r="H342" i="1"/>
  <c r="G342" i="1"/>
  <c r="F342" i="1"/>
  <c r="E342" i="1"/>
  <c r="H339" i="1"/>
  <c r="G339" i="1"/>
  <c r="F339" i="1"/>
  <c r="E339" i="1"/>
  <c r="H333" i="1"/>
  <c r="G333" i="1"/>
  <c r="F333" i="1"/>
  <c r="E333" i="1"/>
  <c r="H328" i="1"/>
  <c r="G328" i="1"/>
  <c r="F328" i="1"/>
  <c r="E328" i="1"/>
  <c r="H322" i="1"/>
  <c r="G322" i="1"/>
  <c r="F322" i="1"/>
  <c r="E322" i="1"/>
  <c r="H309" i="1"/>
  <c r="G309" i="1"/>
  <c r="F309" i="1"/>
  <c r="E309" i="1"/>
  <c r="H304" i="1"/>
  <c r="G304" i="1"/>
  <c r="F304" i="1"/>
  <c r="E304" i="1"/>
  <c r="H293" i="1"/>
  <c r="G293" i="1"/>
  <c r="F293" i="1"/>
  <c r="E293" i="1"/>
  <c r="H288" i="1"/>
  <c r="G288" i="1"/>
  <c r="F288" i="1"/>
  <c r="E288" i="1"/>
  <c r="H274" i="1"/>
  <c r="G274" i="1"/>
  <c r="F274" i="1"/>
  <c r="E274" i="1"/>
  <c r="H269" i="1"/>
  <c r="G269" i="1"/>
  <c r="F269" i="1"/>
  <c r="E269" i="1"/>
  <c r="H264" i="1"/>
  <c r="G264" i="1"/>
  <c r="F264" i="1"/>
  <c r="E264" i="1"/>
  <c r="H258" i="1"/>
  <c r="G258" i="1"/>
  <c r="F258" i="1"/>
  <c r="E258" i="1"/>
  <c r="H253" i="1"/>
  <c r="G253" i="1"/>
  <c r="F253" i="1"/>
  <c r="E253" i="1"/>
  <c r="H239" i="1"/>
  <c r="G239" i="1"/>
  <c r="F239" i="1"/>
  <c r="E239" i="1"/>
  <c r="H237" i="1"/>
  <c r="G237" i="1"/>
  <c r="F237" i="1"/>
  <c r="E237" i="1"/>
  <c r="H231" i="1"/>
  <c r="G231" i="1"/>
  <c r="F231" i="1"/>
  <c r="E231" i="1"/>
  <c r="H227" i="1"/>
  <c r="G227" i="1"/>
  <c r="F227" i="1"/>
  <c r="E227" i="1"/>
  <c r="H219" i="1"/>
  <c r="G219" i="1"/>
  <c r="F219" i="1"/>
  <c r="E219" i="1"/>
  <c r="H207" i="1"/>
  <c r="G207" i="1"/>
  <c r="F207" i="1"/>
  <c r="E207" i="1"/>
  <c r="H200" i="1"/>
  <c r="G200" i="1"/>
  <c r="F200" i="1"/>
  <c r="E200" i="1"/>
  <c r="H193" i="1"/>
  <c r="G193" i="1"/>
  <c r="F193" i="1"/>
  <c r="E193" i="1"/>
  <c r="H186" i="1"/>
  <c r="G186" i="1"/>
  <c r="F186" i="1"/>
  <c r="E186" i="1"/>
  <c r="H174" i="1"/>
  <c r="G174" i="1"/>
  <c r="F174" i="1"/>
  <c r="E174" i="1"/>
  <c r="H166" i="1"/>
  <c r="G166" i="1"/>
  <c r="F166" i="1"/>
  <c r="E166" i="1"/>
  <c r="H164" i="1"/>
  <c r="G164" i="1"/>
  <c r="F164" i="1"/>
  <c r="E164" i="1"/>
  <c r="G151" i="1"/>
  <c r="F151" i="1"/>
  <c r="E151" i="1"/>
  <c r="G149" i="1"/>
  <c r="F149" i="1"/>
  <c r="E149" i="1"/>
  <c r="G148" i="1"/>
  <c r="F148" i="1"/>
  <c r="E148" i="1"/>
  <c r="G147" i="1"/>
  <c r="F147" i="1"/>
  <c r="E147" i="1"/>
  <c r="G144" i="1"/>
  <c r="F144" i="1"/>
  <c r="E144" i="1"/>
  <c r="G143" i="1"/>
  <c r="F143" i="1"/>
  <c r="E143" i="1"/>
  <c r="G140" i="1"/>
  <c r="F140" i="1"/>
  <c r="E140" i="1"/>
  <c r="G123" i="1"/>
  <c r="F123" i="1"/>
  <c r="E123" i="1"/>
  <c r="G109" i="1"/>
  <c r="F109" i="1"/>
  <c r="E109" i="1"/>
  <c r="G83" i="1"/>
  <c r="F83" i="1"/>
  <c r="E83" i="1"/>
  <c r="G66" i="1"/>
  <c r="F66" i="1"/>
  <c r="E66" i="1"/>
  <c r="G57" i="1"/>
  <c r="F57" i="1"/>
  <c r="E57" i="1"/>
  <c r="G31" i="1"/>
  <c r="F31" i="1"/>
  <c r="E31" i="1"/>
  <c r="G6" i="1"/>
  <c r="F6" i="1"/>
  <c r="E6" i="1"/>
</calcChain>
</file>

<file path=xl/sharedStrings.xml><?xml version="1.0" encoding="utf-8"?>
<sst xmlns="http://schemas.openxmlformats.org/spreadsheetml/2006/main" count="85" uniqueCount="23">
  <si>
    <t>DATE</t>
  </si>
  <si>
    <t>TIME</t>
  </si>
  <si>
    <t>Irrigation [ml]</t>
  </si>
  <si>
    <t>Fertilization Type</t>
  </si>
  <si>
    <t>Ammonium Nitrate [mg] -NH4NO3</t>
  </si>
  <si>
    <t>Monopotassium Phosphate[mg] -KH2PO4</t>
  </si>
  <si>
    <t>Potassium Chloride[mg] - KCL</t>
  </si>
  <si>
    <t>Phosphoric acid[mg]-H3PO4</t>
  </si>
  <si>
    <t>Kortin [mg]</t>
  </si>
  <si>
    <t>Gypsum - CaSO4*2H2O [mg]</t>
  </si>
  <si>
    <t>NOTES</t>
  </si>
  <si>
    <t xml:space="preserve"> (6:40 , 10:00 , 13:00 , 16:00) 2mins 4L per hour</t>
  </si>
  <si>
    <t>A</t>
  </si>
  <si>
    <t xml:space="preserve"> (stopped irrigation)</t>
  </si>
  <si>
    <t>back to irrigation</t>
  </si>
  <si>
    <t>B</t>
  </si>
  <si>
    <t>marina</t>
  </si>
  <si>
    <t xml:space="preserve">  (6:40 , 10:00 , 13:00 , 16:00)</t>
  </si>
  <si>
    <t>4 mins</t>
  </si>
  <si>
    <t>18/08/2025  13:00:00 9mins</t>
  </si>
  <si>
    <t>10 mins</t>
  </si>
  <si>
    <t>9/9 14:00 irrigation at 13:00 is cancelled</t>
  </si>
  <si>
    <t>15/9 10:00 is cancelled + back to 4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</si>
</sst>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IL,1]dd/mm/yy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7C513-1018-445A-9CCC-E9CC4D6FE5C8}" name="Table1" displayName="Table1" ref="A1:K489" totalsRowShown="0" headerRowDxfId="12" dataDxfId="11">
  <autoFilter ref="A1:K489" xr:uid="{1457C513-1018-445A-9CCC-E9CC4D6FE5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4C39659-CD37-4086-BD51-7D234032C867}" name="DATE" dataDxfId="10"/>
    <tableColumn id="2" xr3:uid="{B304D544-2A84-4CC7-8D03-1E1F25A84CCE}" name="TIME" dataDxfId="9"/>
    <tableColumn id="3" xr3:uid="{CFFC9878-0CD6-459B-A84E-835CBA74C4CB}" name="Irrigation [ml]" dataDxfId="8"/>
    <tableColumn id="4" xr3:uid="{6105E1F9-6DA9-4AFE-B1B9-7676FAAD3547}" name="Fertilization Type" dataDxfId="7"/>
    <tableColumn id="5" xr3:uid="{C703D3DF-85A8-4951-B4E3-506C4476E35A}" name="Ammonium Nitrate [mg] -NH4NO3" dataDxfId="6"/>
    <tableColumn id="6" xr3:uid="{17B2D668-149C-4DD5-B709-D5BD6A1C96EB}" name="Monopotassium Phosphate[mg] -KH2PO4" dataDxfId="5"/>
    <tableColumn id="7" xr3:uid="{4679E07F-6F91-4606-ACA4-3F4FCF742FFD}" name="Potassium Chloride[mg] - KCL" dataDxfId="4"/>
    <tableColumn id="8" xr3:uid="{D3F384D7-BEAD-49D5-B388-3C8EBCEE696C}" name="Phosphoric acid[mg]-H3PO4" dataDxfId="3"/>
    <tableColumn id="9" xr3:uid="{F6ADA69B-8E4E-47DC-B9B4-1AD906CBEBB6}" name="Kortin [mg]" dataDxfId="2"/>
    <tableColumn id="10" xr3:uid="{4F9B1539-EBB2-465A-A95B-9026585633F3}" name="Gypsum - CaSO4*2H2O [mg]" dataDxfId="1"/>
    <tableColumn id="11" xr3:uid="{9FA35A4A-002E-427C-96AC-E215571C7F47}" name="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046-878C-450F-88FE-4DBD2C665514}">
  <dimension ref="A1:K489"/>
  <sheetViews>
    <sheetView tabSelected="1" workbookViewId="0">
      <selection activeCell="I4" sqref="I4"/>
    </sheetView>
  </sheetViews>
  <sheetFormatPr defaultColWidth="9" defaultRowHeight="14.25"/>
  <cols>
    <col min="1" max="1" width="12.42578125" style="2" customWidth="1"/>
    <col min="2" max="2" width="10.42578125" style="2" customWidth="1"/>
    <col min="3" max="3" width="27" style="2" customWidth="1"/>
    <col min="4" max="4" width="19.140625" style="2" customWidth="1"/>
    <col min="5" max="5" width="31.85546875" style="2" customWidth="1"/>
    <col min="6" max="6" width="39.28515625" style="2" customWidth="1"/>
    <col min="7" max="7" width="29.42578125" style="2" customWidth="1"/>
    <col min="8" max="8" width="27.7109375" style="2" customWidth="1"/>
    <col min="9" max="9" width="29.140625" style="2" customWidth="1"/>
    <col min="10" max="10" width="44.42578125" style="2" customWidth="1"/>
    <col min="11" max="11" width="38.7109375" style="2" customWidth="1"/>
    <col min="12" max="16384" width="9" style="2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45806</v>
      </c>
      <c r="B2" s="4">
        <v>0.27777777777777779</v>
      </c>
      <c r="C2" s="2">
        <v>133.33333329999999</v>
      </c>
      <c r="K2" s="2" t="s">
        <v>11</v>
      </c>
    </row>
    <row r="3" spans="1:11">
      <c r="A3" s="3">
        <v>45806</v>
      </c>
      <c r="B3" s="4">
        <v>0.41666666666666669</v>
      </c>
      <c r="C3" s="2">
        <v>133.33333329999999</v>
      </c>
    </row>
    <row r="4" spans="1:11">
      <c r="A4" s="3">
        <v>45806</v>
      </c>
      <c r="B4" s="4">
        <v>0.54166666666666663</v>
      </c>
      <c r="C4" s="2">
        <v>133.33333329999999</v>
      </c>
    </row>
    <row r="5" spans="1:11">
      <c r="A5" s="3">
        <v>45806</v>
      </c>
      <c r="B5" s="4">
        <v>0.66666666666666663</v>
      </c>
      <c r="C5" s="2">
        <v>133.33333329999999</v>
      </c>
    </row>
    <row r="6" spans="1:11">
      <c r="A6" s="3">
        <v>45806</v>
      </c>
      <c r="B6" s="4">
        <v>0.71875</v>
      </c>
      <c r="C6" s="2">
        <v>100</v>
      </c>
      <c r="D6" s="2" t="s">
        <v>12</v>
      </c>
      <c r="E6" s="2">
        <f>2857/20</f>
        <v>142.85</v>
      </c>
      <c r="F6" s="2">
        <f>2195/20</f>
        <v>109.75</v>
      </c>
      <c r="G6" s="2">
        <f>1658/20</f>
        <v>82.9</v>
      </c>
      <c r="H6" s="2">
        <v>0</v>
      </c>
    </row>
    <row r="7" spans="1:11">
      <c r="A7" s="3">
        <v>45807</v>
      </c>
      <c r="B7" s="4">
        <v>0.27777777777777779</v>
      </c>
      <c r="C7" s="2">
        <v>133.33333329999999</v>
      </c>
    </row>
    <row r="8" spans="1:11">
      <c r="A8" s="3">
        <v>45807</v>
      </c>
      <c r="B8" s="4">
        <v>0.41666666666666669</v>
      </c>
      <c r="C8" s="2">
        <v>133.33333329999999</v>
      </c>
    </row>
    <row r="9" spans="1:11">
      <c r="A9" s="3">
        <v>45807</v>
      </c>
      <c r="B9" s="4">
        <v>0.54166666666666663</v>
      </c>
      <c r="C9" s="2">
        <v>133.33333329999999</v>
      </c>
    </row>
    <row r="10" spans="1:11">
      <c r="A10" s="3">
        <v>45807</v>
      </c>
      <c r="B10" s="4">
        <v>0.66666666666666663</v>
      </c>
      <c r="C10" s="2">
        <v>133.33333329999999</v>
      </c>
    </row>
    <row r="11" spans="1:11">
      <c r="A11" s="3">
        <v>45808</v>
      </c>
      <c r="B11" s="4">
        <v>0.27777777777777779</v>
      </c>
      <c r="C11" s="2">
        <v>133.33333329999999</v>
      </c>
    </row>
    <row r="12" spans="1:11">
      <c r="A12" s="3">
        <v>45808</v>
      </c>
      <c r="B12" s="4">
        <v>0.41666666666666669</v>
      </c>
      <c r="C12" s="2">
        <v>133.33333329999999</v>
      </c>
    </row>
    <row r="13" spans="1:11">
      <c r="A13" s="3">
        <v>45808</v>
      </c>
      <c r="B13" s="4">
        <v>0.54166666666666663</v>
      </c>
      <c r="C13" s="2">
        <v>133.33333329999999</v>
      </c>
    </row>
    <row r="14" spans="1:11">
      <c r="A14" s="3">
        <v>45808</v>
      </c>
      <c r="B14" s="4">
        <v>0.66666666666666663</v>
      </c>
      <c r="C14" s="2">
        <v>133.33333329999999</v>
      </c>
    </row>
    <row r="15" spans="1:11">
      <c r="A15" s="3">
        <v>45809</v>
      </c>
      <c r="B15" s="4">
        <v>0.27777777777777779</v>
      </c>
      <c r="C15" s="2">
        <v>133.33333329999999</v>
      </c>
    </row>
    <row r="16" spans="1:11">
      <c r="A16" s="3">
        <v>45809</v>
      </c>
      <c r="B16" s="4">
        <v>0.41666666666666669</v>
      </c>
      <c r="C16" s="2">
        <v>133.33333329999999</v>
      </c>
    </row>
    <row r="17" spans="1:9">
      <c r="A17" s="3">
        <v>45809</v>
      </c>
      <c r="B17" s="4">
        <v>0.54166666666666663</v>
      </c>
      <c r="C17" s="2">
        <v>133.33333329999999</v>
      </c>
    </row>
    <row r="18" spans="1:9">
      <c r="A18" s="3">
        <v>45809</v>
      </c>
      <c r="B18" s="4">
        <v>0.66666666666666663</v>
      </c>
      <c r="C18" s="2">
        <v>133.33333329999999</v>
      </c>
    </row>
    <row r="19" spans="1:9">
      <c r="A19" s="3">
        <v>45810</v>
      </c>
      <c r="B19" s="4">
        <v>0.27777777777777779</v>
      </c>
      <c r="C19" s="2">
        <v>133.33333329999999</v>
      </c>
    </row>
    <row r="20" spans="1:9">
      <c r="A20" s="3">
        <v>45810</v>
      </c>
      <c r="B20" s="4">
        <v>0.41666666666666669</v>
      </c>
      <c r="C20" s="2">
        <v>133.33333329999999</v>
      </c>
    </row>
    <row r="21" spans="1:9">
      <c r="A21" s="3">
        <v>45810</v>
      </c>
      <c r="B21" s="4">
        <v>0.54166666666666663</v>
      </c>
      <c r="C21" s="2">
        <v>133.33333329999999</v>
      </c>
    </row>
    <row r="22" spans="1:9">
      <c r="A22" s="3">
        <v>45810</v>
      </c>
      <c r="B22" s="4">
        <v>0.66666666666666663</v>
      </c>
      <c r="C22" s="2">
        <v>133.33333329999999</v>
      </c>
    </row>
    <row r="23" spans="1:9">
      <c r="A23" s="3">
        <v>45811</v>
      </c>
      <c r="B23" s="4">
        <v>0.27777777777777779</v>
      </c>
      <c r="C23" s="2">
        <v>133.33333329999999</v>
      </c>
    </row>
    <row r="24" spans="1:9">
      <c r="A24" s="3">
        <v>45811</v>
      </c>
      <c r="B24" s="4">
        <v>0.41666666666666669</v>
      </c>
      <c r="C24" s="2">
        <v>133.33333329999999</v>
      </c>
    </row>
    <row r="25" spans="1:9">
      <c r="A25" s="3">
        <v>45811</v>
      </c>
      <c r="B25" s="4">
        <v>0.54166666666666663</v>
      </c>
      <c r="C25" s="2">
        <v>133.33333329999999</v>
      </c>
    </row>
    <row r="26" spans="1:9">
      <c r="A26" s="3">
        <v>45811</v>
      </c>
      <c r="B26" s="4">
        <v>0.66666666666666663</v>
      </c>
      <c r="C26" s="2">
        <v>133.33333329999999</v>
      </c>
    </row>
    <row r="27" spans="1:9">
      <c r="A27" s="3">
        <v>45811</v>
      </c>
      <c r="B27" s="4">
        <v>0.66875000000000007</v>
      </c>
      <c r="C27" s="2">
        <v>100</v>
      </c>
      <c r="I27" s="2">
        <f>(5.5+2.7+1.35+0.2+0.15)*1000/10/10</f>
        <v>98.999999999999972</v>
      </c>
    </row>
    <row r="28" spans="1:9">
      <c r="A28" s="3">
        <v>45812</v>
      </c>
      <c r="B28" s="4">
        <v>0.27777777777777779</v>
      </c>
      <c r="C28" s="2">
        <v>133.33333329999999</v>
      </c>
    </row>
    <row r="29" spans="1:9">
      <c r="A29" s="3">
        <v>45812</v>
      </c>
      <c r="B29" s="4">
        <v>0.41666666666666669</v>
      </c>
      <c r="C29" s="2">
        <v>133.33333329999999</v>
      </c>
    </row>
    <row r="30" spans="1:9">
      <c r="A30" s="3">
        <v>45812</v>
      </c>
      <c r="B30" s="4">
        <v>0.54166666666666663</v>
      </c>
      <c r="C30" s="2">
        <v>133.33333329999999</v>
      </c>
    </row>
    <row r="31" spans="1:9">
      <c r="A31" s="3">
        <v>45812</v>
      </c>
      <c r="B31" s="4">
        <v>0.65694444444444444</v>
      </c>
      <c r="C31" s="2">
        <v>100</v>
      </c>
      <c r="D31" s="2" t="s">
        <v>12</v>
      </c>
      <c r="E31" s="2">
        <f>2857/20</f>
        <v>142.85</v>
      </c>
      <c r="F31" s="2">
        <f>2195/20</f>
        <v>109.75</v>
      </c>
      <c r="G31" s="2">
        <f>1658/20</f>
        <v>82.9</v>
      </c>
      <c r="H31" s="2">
        <v>0</v>
      </c>
    </row>
    <row r="32" spans="1:9">
      <c r="A32" s="3">
        <v>45812</v>
      </c>
      <c r="B32" s="4">
        <v>0.66666666666666663</v>
      </c>
      <c r="C32" s="2">
        <v>133.33333329999999</v>
      </c>
    </row>
    <row r="33" spans="1:3">
      <c r="A33" s="3">
        <v>45813</v>
      </c>
      <c r="B33" s="4">
        <v>0.27777777777777779</v>
      </c>
      <c r="C33" s="2">
        <v>133.33333329999999</v>
      </c>
    </row>
    <row r="34" spans="1:3">
      <c r="A34" s="3">
        <v>45813</v>
      </c>
      <c r="B34" s="4">
        <v>0.41666666666666669</v>
      </c>
      <c r="C34" s="2">
        <v>133.33333329999999</v>
      </c>
    </row>
    <row r="35" spans="1:3">
      <c r="A35" s="3">
        <v>45813</v>
      </c>
      <c r="B35" s="4">
        <v>0.54166666666666663</v>
      </c>
      <c r="C35" s="2">
        <v>133.33333329999999</v>
      </c>
    </row>
    <row r="36" spans="1:3">
      <c r="A36" s="3">
        <v>45813</v>
      </c>
      <c r="B36" s="4">
        <v>0.66666666666666663</v>
      </c>
      <c r="C36" s="2">
        <v>133.33333329999999</v>
      </c>
    </row>
    <row r="37" spans="1:3">
      <c r="A37" s="3">
        <v>45814</v>
      </c>
      <c r="B37" s="4">
        <v>0.27777777777777779</v>
      </c>
      <c r="C37" s="2">
        <v>133.33333329999999</v>
      </c>
    </row>
    <row r="38" spans="1:3">
      <c r="A38" s="3">
        <v>45814</v>
      </c>
      <c r="B38" s="4">
        <v>0.41666666666666669</v>
      </c>
      <c r="C38" s="2">
        <v>133.33333329999999</v>
      </c>
    </row>
    <row r="39" spans="1:3">
      <c r="A39" s="3">
        <v>45814</v>
      </c>
      <c r="B39" s="4">
        <v>0.54166666666666663</v>
      </c>
      <c r="C39" s="2">
        <v>133.33333329999999</v>
      </c>
    </row>
    <row r="40" spans="1:3">
      <c r="A40" s="3">
        <v>45814</v>
      </c>
      <c r="B40" s="4">
        <v>0.66666666666666663</v>
      </c>
      <c r="C40" s="2">
        <v>133.33333329999999</v>
      </c>
    </row>
    <row r="41" spans="1:3">
      <c r="A41" s="3">
        <v>45815</v>
      </c>
      <c r="B41" s="4">
        <v>0.27777777777777779</v>
      </c>
      <c r="C41" s="2">
        <v>133.33333329999999</v>
      </c>
    </row>
    <row r="42" spans="1:3">
      <c r="A42" s="3">
        <v>45815</v>
      </c>
      <c r="B42" s="4">
        <v>0.41666666666666669</v>
      </c>
      <c r="C42" s="2">
        <v>133.33333329999999</v>
      </c>
    </row>
    <row r="43" spans="1:3">
      <c r="A43" s="3">
        <v>45815</v>
      </c>
      <c r="B43" s="4">
        <v>0.54166666666666663</v>
      </c>
      <c r="C43" s="2">
        <v>133.33333329999999</v>
      </c>
    </row>
    <row r="44" spans="1:3">
      <c r="A44" s="3">
        <v>45815</v>
      </c>
      <c r="B44" s="4">
        <v>0.66666666666666663</v>
      </c>
      <c r="C44" s="2">
        <v>133.33333329999999</v>
      </c>
    </row>
    <row r="45" spans="1:3">
      <c r="A45" s="3">
        <v>45816</v>
      </c>
      <c r="B45" s="4">
        <v>0.27777777777777779</v>
      </c>
      <c r="C45" s="2">
        <v>133.33333329999999</v>
      </c>
    </row>
    <row r="46" spans="1:3">
      <c r="A46" s="3">
        <v>45816</v>
      </c>
      <c r="B46" s="4">
        <v>0.41666666666666669</v>
      </c>
      <c r="C46" s="2">
        <v>133.33333329999999</v>
      </c>
    </row>
    <row r="47" spans="1:3">
      <c r="A47" s="3">
        <v>45816</v>
      </c>
      <c r="B47" s="4">
        <v>0.54166666666666663</v>
      </c>
      <c r="C47" s="2">
        <v>133.33333329999999</v>
      </c>
    </row>
    <row r="48" spans="1:3">
      <c r="A48" s="3">
        <v>45816</v>
      </c>
      <c r="B48" s="4">
        <v>0.66666666666666663</v>
      </c>
      <c r="C48" s="2">
        <v>133.33333329999999</v>
      </c>
    </row>
    <row r="49" spans="1:8">
      <c r="A49" s="3">
        <v>45817</v>
      </c>
      <c r="B49" s="4">
        <v>0.27777777777777779</v>
      </c>
      <c r="C49" s="2">
        <v>133.33333329999999</v>
      </c>
    </row>
    <row r="50" spans="1:8">
      <c r="A50" s="3">
        <v>45817</v>
      </c>
      <c r="B50" s="4">
        <v>0.41666666666666669</v>
      </c>
      <c r="C50" s="2">
        <v>133.33333329999999</v>
      </c>
    </row>
    <row r="51" spans="1:8">
      <c r="A51" s="3">
        <v>45817</v>
      </c>
      <c r="B51" s="4">
        <v>0.54166666666666663</v>
      </c>
      <c r="C51" s="2">
        <v>133.33333329999999</v>
      </c>
    </row>
    <row r="52" spans="1:8">
      <c r="A52" s="3">
        <v>45817</v>
      </c>
      <c r="B52" s="4">
        <v>0.66666666666666663</v>
      </c>
      <c r="C52" s="2">
        <v>133.33333329999999</v>
      </c>
    </row>
    <row r="53" spans="1:8">
      <c r="A53" s="3">
        <v>45818</v>
      </c>
      <c r="B53" s="4">
        <v>0.27777777777777779</v>
      </c>
      <c r="C53" s="2">
        <v>133.33333329999999</v>
      </c>
    </row>
    <row r="54" spans="1:8">
      <c r="A54" s="3">
        <v>45818</v>
      </c>
      <c r="B54" s="4">
        <v>0.41666666666666669</v>
      </c>
      <c r="C54" s="2">
        <v>133.33333329999999</v>
      </c>
    </row>
    <row r="55" spans="1:8">
      <c r="A55" s="3">
        <v>45818</v>
      </c>
      <c r="B55" s="4">
        <v>0.54166666666666663</v>
      </c>
      <c r="C55" s="2">
        <v>133.33333329999999</v>
      </c>
    </row>
    <row r="56" spans="1:8">
      <c r="A56" s="3">
        <v>45818</v>
      </c>
      <c r="B56" s="4">
        <v>0.66666666666666663</v>
      </c>
      <c r="C56" s="2">
        <v>133.33333329999999</v>
      </c>
    </row>
    <row r="57" spans="1:8">
      <c r="A57" s="3">
        <v>45818</v>
      </c>
      <c r="B57" s="4">
        <v>0.7104166666666667</v>
      </c>
      <c r="C57" s="2">
        <v>100</v>
      </c>
      <c r="D57" s="2" t="s">
        <v>12</v>
      </c>
      <c r="E57" s="2">
        <f>2857/20</f>
        <v>142.85</v>
      </c>
      <c r="F57" s="2">
        <f>2195/20</f>
        <v>109.75</v>
      </c>
      <c r="G57" s="2">
        <f>1658/20</f>
        <v>82.9</v>
      </c>
      <c r="H57" s="2">
        <v>0</v>
      </c>
    </row>
    <row r="58" spans="1:8">
      <c r="A58" s="3">
        <v>45819</v>
      </c>
      <c r="B58" s="4">
        <v>0.27777777777777779</v>
      </c>
      <c r="C58" s="2">
        <v>133.33333329999999</v>
      </c>
    </row>
    <row r="59" spans="1:8">
      <c r="A59" s="3">
        <v>45819</v>
      </c>
      <c r="B59" s="4">
        <v>0.41666666666666669</v>
      </c>
      <c r="C59" s="2">
        <v>133.33333329999999</v>
      </c>
    </row>
    <row r="60" spans="1:8">
      <c r="A60" s="3">
        <v>45819</v>
      </c>
      <c r="B60" s="4">
        <v>0.54166666666666663</v>
      </c>
      <c r="C60" s="2">
        <v>133.33333329999999</v>
      </c>
    </row>
    <row r="61" spans="1:8">
      <c r="A61" s="3">
        <v>45819</v>
      </c>
      <c r="B61" s="4">
        <v>0.66666666666666663</v>
      </c>
      <c r="C61" s="2">
        <v>133.33333329999999</v>
      </c>
    </row>
    <row r="62" spans="1:8">
      <c r="A62" s="3">
        <v>45820</v>
      </c>
      <c r="B62" s="4">
        <v>0.27777777777777779</v>
      </c>
      <c r="C62" s="2">
        <v>133.33333329999999</v>
      </c>
    </row>
    <row r="63" spans="1:8">
      <c r="A63" s="3">
        <v>45820</v>
      </c>
      <c r="B63" s="4">
        <v>0.41666666666666669</v>
      </c>
      <c r="C63" s="2">
        <v>133.33333329999999</v>
      </c>
    </row>
    <row r="64" spans="1:8">
      <c r="A64" s="3">
        <v>45820</v>
      </c>
      <c r="B64" s="4">
        <v>0.54166666666666663</v>
      </c>
      <c r="C64" s="2">
        <v>133.33333329999999</v>
      </c>
    </row>
    <row r="65" spans="1:8">
      <c r="A65" s="3">
        <v>45820</v>
      </c>
      <c r="B65" s="4">
        <v>0.66666666666666663</v>
      </c>
      <c r="C65" s="2">
        <v>133.33333329999999</v>
      </c>
    </row>
    <row r="66" spans="1:8">
      <c r="A66" s="3">
        <v>45820</v>
      </c>
      <c r="B66" s="4">
        <v>0.70972222222222225</v>
      </c>
      <c r="C66" s="2">
        <v>100</v>
      </c>
      <c r="D66" s="2" t="s">
        <v>12</v>
      </c>
      <c r="E66" s="2">
        <f>2857/20</f>
        <v>142.85</v>
      </c>
      <c r="F66" s="2">
        <f>2195/20</f>
        <v>109.75</v>
      </c>
      <c r="G66" s="2">
        <f>1658/20</f>
        <v>82.9</v>
      </c>
      <c r="H66" s="2">
        <v>0</v>
      </c>
    </row>
    <row r="67" spans="1:8">
      <c r="A67" s="3">
        <v>45821</v>
      </c>
      <c r="B67" s="4">
        <v>0.27777777777777779</v>
      </c>
      <c r="C67" s="2">
        <v>133.33333329999999</v>
      </c>
    </row>
    <row r="68" spans="1:8">
      <c r="A68" s="3">
        <v>45821</v>
      </c>
      <c r="B68" s="4">
        <v>0.41666666666666669</v>
      </c>
      <c r="C68" s="2">
        <v>133.33333329999999</v>
      </c>
    </row>
    <row r="69" spans="1:8">
      <c r="A69" s="3">
        <v>45821</v>
      </c>
      <c r="B69" s="4">
        <v>0.54166666666666663</v>
      </c>
      <c r="C69" s="2">
        <v>133.33333329999999</v>
      </c>
    </row>
    <row r="70" spans="1:8">
      <c r="A70" s="3">
        <v>45821</v>
      </c>
      <c r="B70" s="4">
        <v>0.66666666666666663</v>
      </c>
      <c r="C70" s="2">
        <v>133.33333329999999</v>
      </c>
    </row>
    <row r="71" spans="1:8">
      <c r="A71" s="3">
        <v>45822</v>
      </c>
      <c r="B71" s="4">
        <v>0.27777777777777779</v>
      </c>
      <c r="C71" s="2">
        <v>133.33333329999999</v>
      </c>
    </row>
    <row r="72" spans="1:8">
      <c r="A72" s="3">
        <v>45822</v>
      </c>
      <c r="B72" s="4">
        <v>0.41666666666666669</v>
      </c>
      <c r="C72" s="2">
        <v>133.33333329999999</v>
      </c>
    </row>
    <row r="73" spans="1:8">
      <c r="A73" s="3">
        <v>45822</v>
      </c>
      <c r="B73" s="4">
        <v>0.54166666666666663</v>
      </c>
      <c r="C73" s="2">
        <v>133.33333329999999</v>
      </c>
    </row>
    <row r="74" spans="1:8">
      <c r="A74" s="3">
        <v>45822</v>
      </c>
      <c r="B74" s="4">
        <v>0.66666666666666663</v>
      </c>
      <c r="C74" s="2">
        <v>133.33333329999999</v>
      </c>
    </row>
    <row r="75" spans="1:8">
      <c r="A75" s="3">
        <v>45823</v>
      </c>
      <c r="B75" s="4">
        <v>0.27777777777777779</v>
      </c>
      <c r="C75" s="2">
        <v>133.33333329999999</v>
      </c>
    </row>
    <row r="76" spans="1:8">
      <c r="A76" s="3">
        <v>45823</v>
      </c>
      <c r="B76" s="4">
        <v>0.41666666666666669</v>
      </c>
      <c r="C76" s="2">
        <v>133.33333329999999</v>
      </c>
    </row>
    <row r="77" spans="1:8">
      <c r="A77" s="3">
        <v>45823</v>
      </c>
      <c r="B77" s="4">
        <v>0.54166666666666663</v>
      </c>
      <c r="C77" s="2">
        <v>133.33333329999999</v>
      </c>
    </row>
    <row r="78" spans="1:8">
      <c r="A78" s="3">
        <v>45823</v>
      </c>
      <c r="B78" s="4">
        <v>0.66666666666666663</v>
      </c>
      <c r="C78" s="2">
        <v>133.33333329999999</v>
      </c>
    </row>
    <row r="79" spans="1:8">
      <c r="A79" s="3">
        <v>45824</v>
      </c>
      <c r="B79" s="4">
        <v>0.27777777777777779</v>
      </c>
      <c r="C79" s="2">
        <v>133.33333329999999</v>
      </c>
    </row>
    <row r="80" spans="1:8">
      <c r="A80" s="3">
        <v>45824</v>
      </c>
      <c r="B80" s="4">
        <v>0.41666666666666669</v>
      </c>
      <c r="C80" s="2">
        <v>133.33333329999999</v>
      </c>
    </row>
    <row r="81" spans="1:8">
      <c r="A81" s="3">
        <v>45824</v>
      </c>
      <c r="B81" s="4">
        <v>0.54166666666666663</v>
      </c>
      <c r="C81" s="2">
        <v>133.33333329999999</v>
      </c>
    </row>
    <row r="82" spans="1:8">
      <c r="A82" s="3">
        <v>45824</v>
      </c>
      <c r="B82" s="4">
        <v>0.66666666666666663</v>
      </c>
      <c r="C82" s="2">
        <v>133.33333329999999</v>
      </c>
    </row>
    <row r="83" spans="1:8">
      <c r="A83" s="3">
        <v>45824</v>
      </c>
      <c r="B83" s="4">
        <v>0.66736111111111107</v>
      </c>
      <c r="C83" s="2">
        <v>100</v>
      </c>
      <c r="D83" s="2" t="s">
        <v>12</v>
      </c>
      <c r="E83" s="2">
        <f>2857/20</f>
        <v>142.85</v>
      </c>
      <c r="F83" s="2">
        <f>2195/20</f>
        <v>109.75</v>
      </c>
      <c r="G83" s="2">
        <f>1658/20</f>
        <v>82.9</v>
      </c>
      <c r="H83" s="2">
        <v>0</v>
      </c>
    </row>
    <row r="84" spans="1:8">
      <c r="A84" s="3">
        <v>45825</v>
      </c>
      <c r="B84" s="4">
        <v>0.27777777777777779</v>
      </c>
      <c r="C84" s="2">
        <v>133.33333329999999</v>
      </c>
    </row>
    <row r="85" spans="1:8">
      <c r="A85" s="3">
        <v>45825</v>
      </c>
      <c r="B85" s="4">
        <v>0.41666666666666669</v>
      </c>
      <c r="C85" s="2">
        <v>133.33333329999999</v>
      </c>
    </row>
    <row r="86" spans="1:8">
      <c r="A86" s="3">
        <v>45825</v>
      </c>
      <c r="B86" s="4">
        <v>0.54166666666666663</v>
      </c>
      <c r="C86" s="2">
        <v>133.33333329999999</v>
      </c>
    </row>
    <row r="87" spans="1:8">
      <c r="A87" s="3">
        <v>45825</v>
      </c>
      <c r="B87" s="4">
        <v>0.66666666666666663</v>
      </c>
      <c r="C87" s="2">
        <v>133.33333329999999</v>
      </c>
    </row>
    <row r="88" spans="1:8">
      <c r="A88" s="3">
        <v>45826</v>
      </c>
      <c r="B88" s="4">
        <v>0.27777777777777779</v>
      </c>
      <c r="C88" s="2">
        <v>133.33333329999999</v>
      </c>
    </row>
    <row r="89" spans="1:8">
      <c r="A89" s="3">
        <v>45826</v>
      </c>
      <c r="B89" s="4">
        <v>0.41666666666666669</v>
      </c>
      <c r="C89" s="2">
        <v>133.33333329999999</v>
      </c>
    </row>
    <row r="90" spans="1:8">
      <c r="A90" s="3">
        <v>45826</v>
      </c>
      <c r="B90" s="4">
        <v>0.54166666666666663</v>
      </c>
      <c r="C90" s="2">
        <v>133.33333329999999</v>
      </c>
    </row>
    <row r="91" spans="1:8">
      <c r="A91" s="3">
        <v>45826</v>
      </c>
      <c r="B91" s="4">
        <v>0.66666666666666663</v>
      </c>
      <c r="C91" s="2">
        <v>133.33333329999999</v>
      </c>
    </row>
    <row r="92" spans="1:8">
      <c r="A92" s="3">
        <v>45827</v>
      </c>
      <c r="B92" s="4">
        <v>0.27777777777777779</v>
      </c>
      <c r="C92" s="2">
        <v>133.33333329999999</v>
      </c>
    </row>
    <row r="93" spans="1:8">
      <c r="A93" s="3">
        <v>45827</v>
      </c>
      <c r="B93" s="4">
        <v>0.41666666666666669</v>
      </c>
      <c r="C93" s="2">
        <v>133.33333329999999</v>
      </c>
    </row>
    <row r="94" spans="1:8">
      <c r="A94" s="3">
        <v>45827</v>
      </c>
      <c r="B94" s="4">
        <v>0.54166666666666663</v>
      </c>
      <c r="C94" s="2">
        <v>133.33333329999999</v>
      </c>
    </row>
    <row r="95" spans="1:8">
      <c r="A95" s="3">
        <v>45827</v>
      </c>
      <c r="B95" s="4">
        <v>0.66666666666666663</v>
      </c>
      <c r="C95" s="2">
        <v>133.33333329999999</v>
      </c>
    </row>
    <row r="96" spans="1:8">
      <c r="A96" s="3">
        <v>45828</v>
      </c>
      <c r="B96" s="4">
        <v>0.27777777777777779</v>
      </c>
      <c r="C96" s="2">
        <v>133.33333329999999</v>
      </c>
    </row>
    <row r="97" spans="1:8">
      <c r="A97" s="3">
        <v>45828</v>
      </c>
      <c r="B97" s="4">
        <v>0.41666666666666669</v>
      </c>
      <c r="C97" s="2">
        <v>133.33333329999999</v>
      </c>
    </row>
    <row r="98" spans="1:8">
      <c r="A98" s="3">
        <v>45828</v>
      </c>
      <c r="B98" s="4">
        <v>0.54166666666666663</v>
      </c>
      <c r="C98" s="2">
        <v>133.33333329999999</v>
      </c>
    </row>
    <row r="99" spans="1:8">
      <c r="A99" s="3">
        <v>45828</v>
      </c>
      <c r="B99" s="4">
        <v>0.66666666666666663</v>
      </c>
      <c r="C99" s="2">
        <v>133.33333329999999</v>
      </c>
    </row>
    <row r="100" spans="1:8">
      <c r="A100" s="3">
        <v>45829</v>
      </c>
      <c r="B100" s="4">
        <v>0.27777777777777779</v>
      </c>
      <c r="C100" s="2">
        <v>133.33333329999999</v>
      </c>
    </row>
    <row r="101" spans="1:8">
      <c r="A101" s="3">
        <v>45829</v>
      </c>
      <c r="B101" s="4">
        <v>0.41666666666666669</v>
      </c>
      <c r="C101" s="2">
        <v>133.33333329999999</v>
      </c>
    </row>
    <row r="102" spans="1:8">
      <c r="A102" s="3">
        <v>45829</v>
      </c>
      <c r="B102" s="4">
        <v>0.54166666666666663</v>
      </c>
      <c r="C102" s="2">
        <v>133.33333329999999</v>
      </c>
    </row>
    <row r="103" spans="1:8">
      <c r="A103" s="3">
        <v>45829</v>
      </c>
      <c r="B103" s="4">
        <v>0.66666666666666663</v>
      </c>
      <c r="C103" s="2">
        <v>133.33333329999999</v>
      </c>
    </row>
    <row r="104" spans="1:8">
      <c r="A104" s="3">
        <v>45830</v>
      </c>
      <c r="B104" s="4">
        <v>0.27777777777777779</v>
      </c>
      <c r="C104" s="2">
        <v>133.33333329999999</v>
      </c>
    </row>
    <row r="105" spans="1:8">
      <c r="A105" s="3">
        <v>45830</v>
      </c>
      <c r="B105" s="4">
        <v>0.41666666666666669</v>
      </c>
      <c r="C105" s="2">
        <v>133.33333329999999</v>
      </c>
    </row>
    <row r="106" spans="1:8">
      <c r="A106" s="3">
        <v>45830</v>
      </c>
      <c r="B106" s="4">
        <v>0.54166666666666663</v>
      </c>
      <c r="C106" s="2">
        <v>133.33333329999999</v>
      </c>
    </row>
    <row r="107" spans="1:8">
      <c r="A107" s="3">
        <v>45830</v>
      </c>
      <c r="B107" s="4">
        <v>0.66666666666666663</v>
      </c>
      <c r="C107" s="2">
        <v>133.33333329999999</v>
      </c>
    </row>
    <row r="108" spans="1:8">
      <c r="A108" s="3">
        <v>45831</v>
      </c>
      <c r="B108" s="4">
        <v>0.27777777777777779</v>
      </c>
      <c r="C108" s="2">
        <v>133.33333329999999</v>
      </c>
    </row>
    <row r="109" spans="1:8">
      <c r="A109" s="3">
        <v>45831</v>
      </c>
      <c r="B109" s="4">
        <v>0.39027777777777778</v>
      </c>
      <c r="C109" s="2">
        <v>100</v>
      </c>
      <c r="D109" s="2" t="s">
        <v>12</v>
      </c>
      <c r="E109" s="2">
        <f>2857/20</f>
        <v>142.85</v>
      </c>
      <c r="F109" s="2">
        <f>2195/20</f>
        <v>109.75</v>
      </c>
      <c r="G109" s="2">
        <f>1658/20</f>
        <v>82.9</v>
      </c>
      <c r="H109" s="2">
        <v>0</v>
      </c>
    </row>
    <row r="110" spans="1:8">
      <c r="A110" s="3">
        <v>45831</v>
      </c>
      <c r="B110" s="4">
        <v>0.41666666666666669</v>
      </c>
      <c r="C110" s="2">
        <v>133.33333329999999</v>
      </c>
    </row>
    <row r="111" spans="1:8">
      <c r="A111" s="3">
        <v>45831</v>
      </c>
      <c r="B111" s="4">
        <v>0.54166666666666663</v>
      </c>
      <c r="C111" s="2">
        <v>133.33333329999999</v>
      </c>
    </row>
    <row r="112" spans="1:8">
      <c r="A112" s="3">
        <v>45831</v>
      </c>
      <c r="B112" s="4">
        <v>0.66666666666666663</v>
      </c>
      <c r="C112" s="2">
        <v>133.33333329999999</v>
      </c>
    </row>
    <row r="113" spans="1:8">
      <c r="A113" s="3">
        <v>45832</v>
      </c>
      <c r="B113" s="4">
        <v>0.27777777777777779</v>
      </c>
      <c r="C113" s="2">
        <v>133.33333329999999</v>
      </c>
    </row>
    <row r="114" spans="1:8">
      <c r="A114" s="3">
        <v>45832</v>
      </c>
      <c r="B114" s="4">
        <v>0.41666666666666669</v>
      </c>
      <c r="C114" s="2">
        <v>133.33333329999999</v>
      </c>
    </row>
    <row r="115" spans="1:8">
      <c r="A115" s="3">
        <v>45832</v>
      </c>
      <c r="B115" s="4">
        <v>0.54166666666666663</v>
      </c>
      <c r="C115" s="2">
        <v>133.33333329999999</v>
      </c>
    </row>
    <row r="116" spans="1:8">
      <c r="A116" s="3">
        <v>45832</v>
      </c>
      <c r="B116" s="4">
        <v>0.66666666666666663</v>
      </c>
      <c r="C116" s="2">
        <v>133.33333329999999</v>
      </c>
    </row>
    <row r="117" spans="1:8">
      <c r="A117" s="3">
        <v>45833</v>
      </c>
      <c r="B117" s="4">
        <v>0.27777777777777779</v>
      </c>
      <c r="C117" s="2">
        <v>133.33333329999999</v>
      </c>
    </row>
    <row r="118" spans="1:8">
      <c r="A118" s="3">
        <v>45833</v>
      </c>
      <c r="B118" s="4">
        <v>0.41666666666666669</v>
      </c>
      <c r="C118" s="2">
        <v>133.33333329999999</v>
      </c>
    </row>
    <row r="119" spans="1:8">
      <c r="A119" s="3">
        <v>45833</v>
      </c>
      <c r="B119" s="4">
        <v>0.54166666666666663</v>
      </c>
      <c r="C119" s="2">
        <v>133.33333329999999</v>
      </c>
    </row>
    <row r="120" spans="1:8">
      <c r="A120" s="3">
        <v>45833</v>
      </c>
      <c r="B120" s="4">
        <v>0.66666666666666663</v>
      </c>
      <c r="C120" s="2">
        <v>133.33333329999999</v>
      </c>
    </row>
    <row r="121" spans="1:8">
      <c r="A121" s="3">
        <v>45834</v>
      </c>
      <c r="B121" s="4">
        <v>0.27777777777777779</v>
      </c>
      <c r="C121" s="2">
        <v>133.33333329999999</v>
      </c>
    </row>
    <row r="122" spans="1:8">
      <c r="A122" s="3">
        <v>45834</v>
      </c>
      <c r="B122" s="4">
        <v>0.41666666666666669</v>
      </c>
      <c r="C122" s="2">
        <v>133.33333329999999</v>
      </c>
    </row>
    <row r="123" spans="1:8">
      <c r="A123" s="3">
        <v>45834</v>
      </c>
      <c r="B123" s="4">
        <v>0.48125000000000001</v>
      </c>
      <c r="C123" s="2">
        <v>100</v>
      </c>
      <c r="D123" s="2" t="s">
        <v>12</v>
      </c>
      <c r="E123" s="2">
        <f>2857/20</f>
        <v>142.85</v>
      </c>
      <c r="F123" s="2">
        <f>2195/20</f>
        <v>109.75</v>
      </c>
      <c r="G123" s="2">
        <f>1658/20</f>
        <v>82.9</v>
      </c>
      <c r="H123" s="2">
        <v>0</v>
      </c>
    </row>
    <row r="124" spans="1:8">
      <c r="A124" s="3">
        <v>45834</v>
      </c>
      <c r="B124" s="4">
        <v>0.54166666666666663</v>
      </c>
      <c r="C124" s="2">
        <v>133.33333329999999</v>
      </c>
    </row>
    <row r="125" spans="1:8">
      <c r="A125" s="3">
        <v>45834</v>
      </c>
      <c r="B125" s="4">
        <v>0.66666666666666663</v>
      </c>
      <c r="C125" s="2">
        <v>133.33333329999999</v>
      </c>
    </row>
    <row r="126" spans="1:8">
      <c r="A126" s="3">
        <v>45835</v>
      </c>
      <c r="B126" s="4">
        <v>0.27777777777777779</v>
      </c>
      <c r="C126" s="2">
        <v>133.33333329999999</v>
      </c>
    </row>
    <row r="127" spans="1:8">
      <c r="A127" s="3">
        <v>45835</v>
      </c>
      <c r="B127" s="4">
        <v>0.41666666666666669</v>
      </c>
      <c r="C127" s="2">
        <v>133.33333329999999</v>
      </c>
    </row>
    <row r="128" spans="1:8">
      <c r="A128" s="3">
        <v>45835</v>
      </c>
      <c r="B128" s="4">
        <v>0.54166666666666663</v>
      </c>
      <c r="C128" s="2">
        <v>133.33333329999999</v>
      </c>
    </row>
    <row r="129" spans="1:11">
      <c r="A129" s="3">
        <v>45835</v>
      </c>
      <c r="B129" s="4">
        <v>0.66666666666666663</v>
      </c>
      <c r="C129" s="2">
        <v>133.33333329999999</v>
      </c>
    </row>
    <row r="130" spans="1:11">
      <c r="A130" s="3">
        <v>45836</v>
      </c>
      <c r="B130" s="4">
        <v>0.27777777777777779</v>
      </c>
      <c r="C130" s="2">
        <v>133.33333329999999</v>
      </c>
    </row>
    <row r="131" spans="1:11">
      <c r="A131" s="3">
        <v>45836</v>
      </c>
      <c r="B131" s="4">
        <v>0.41666666666666669</v>
      </c>
      <c r="C131" s="2">
        <v>133.33333329999999</v>
      </c>
    </row>
    <row r="132" spans="1:11">
      <c r="A132" s="3">
        <v>45836</v>
      </c>
      <c r="B132" s="4">
        <v>0.54166666666666663</v>
      </c>
      <c r="C132" s="2">
        <v>133.33333329999999</v>
      </c>
    </row>
    <row r="133" spans="1:11">
      <c r="A133" s="3">
        <v>45836</v>
      </c>
      <c r="B133" s="4">
        <v>0.66666666666666663</v>
      </c>
      <c r="C133" s="2">
        <v>133.33333329999999</v>
      </c>
    </row>
    <row r="134" spans="1:11">
      <c r="A134" s="3">
        <v>45837</v>
      </c>
      <c r="B134" s="4">
        <v>0.27777777777777779</v>
      </c>
      <c r="C134" s="2">
        <v>133.33333329999999</v>
      </c>
    </row>
    <row r="135" spans="1:11">
      <c r="A135" s="3">
        <v>45837</v>
      </c>
      <c r="B135" s="4">
        <v>0.41666666666666669</v>
      </c>
      <c r="C135" s="2">
        <v>133.33333329999999</v>
      </c>
    </row>
    <row r="136" spans="1:11">
      <c r="A136" s="3">
        <v>45837</v>
      </c>
      <c r="B136" s="4">
        <v>0.54166666666666663</v>
      </c>
      <c r="C136" s="2">
        <v>133.33333329999999</v>
      </c>
    </row>
    <row r="137" spans="1:11">
      <c r="A137" s="3">
        <v>45837</v>
      </c>
      <c r="B137" s="4">
        <v>0.66666666666666663</v>
      </c>
      <c r="C137" s="2">
        <v>133.33333329999999</v>
      </c>
    </row>
    <row r="138" spans="1:11">
      <c r="A138" s="3">
        <v>45838</v>
      </c>
      <c r="B138" s="4">
        <v>0.27777777777777779</v>
      </c>
      <c r="C138" s="2">
        <v>133.33333329999999</v>
      </c>
    </row>
    <row r="139" spans="1:11">
      <c r="A139" s="3">
        <v>45838</v>
      </c>
      <c r="B139" s="4">
        <v>0.41666666666666669</v>
      </c>
      <c r="C139" s="2">
        <v>133.33333329999999</v>
      </c>
    </row>
    <row r="140" spans="1:11">
      <c r="A140" s="3">
        <v>45838</v>
      </c>
      <c r="B140" s="4">
        <v>0.53541666666666665</v>
      </c>
      <c r="C140" s="2">
        <v>200</v>
      </c>
      <c r="D140" s="2" t="s">
        <v>12</v>
      </c>
      <c r="E140" s="2">
        <f>2857/20</f>
        <v>142.85</v>
      </c>
      <c r="F140" s="2">
        <f>2195/20</f>
        <v>109.75</v>
      </c>
      <c r="G140" s="2">
        <f>1658/20</f>
        <v>82.9</v>
      </c>
      <c r="H140" s="2">
        <v>0</v>
      </c>
      <c r="J140" s="2">
        <f>1500/10/10</f>
        <v>15</v>
      </c>
    </row>
    <row r="141" spans="1:11">
      <c r="A141" s="3">
        <v>45838</v>
      </c>
      <c r="B141" s="4">
        <v>0.54166666666666663</v>
      </c>
      <c r="C141" s="2">
        <v>133.33333329999999</v>
      </c>
    </row>
    <row r="142" spans="1:11">
      <c r="A142" s="3">
        <v>45838</v>
      </c>
      <c r="B142" s="4">
        <v>0.66666666666666663</v>
      </c>
      <c r="C142" s="2">
        <v>133.33333329999999</v>
      </c>
    </row>
    <row r="143" spans="1:11">
      <c r="A143" s="3">
        <v>45839</v>
      </c>
      <c r="B143" s="4">
        <v>0.57361111111111118</v>
      </c>
      <c r="C143" s="2">
        <v>200</v>
      </c>
      <c r="D143" s="2" t="s">
        <v>12</v>
      </c>
      <c r="E143" s="2">
        <f>2857/20</f>
        <v>142.85</v>
      </c>
      <c r="F143" s="2">
        <f>2195/20</f>
        <v>109.75</v>
      </c>
      <c r="G143" s="2">
        <f>1658/20</f>
        <v>82.9</v>
      </c>
      <c r="H143" s="2">
        <v>0</v>
      </c>
      <c r="J143" s="2">
        <v>15</v>
      </c>
      <c r="K143" s="2" t="s">
        <v>13</v>
      </c>
    </row>
    <row r="144" spans="1:11">
      <c r="A144" s="3">
        <v>45840</v>
      </c>
      <c r="B144" s="4">
        <v>0.47986111111111113</v>
      </c>
      <c r="C144" s="2">
        <v>100</v>
      </c>
      <c r="D144" s="2" t="s">
        <v>12</v>
      </c>
      <c r="E144" s="2">
        <f>2857/20</f>
        <v>142.85</v>
      </c>
      <c r="F144" s="2">
        <f>2195/20</f>
        <v>109.75</v>
      </c>
      <c r="G144" s="2">
        <f>1658/20</f>
        <v>82.9</v>
      </c>
      <c r="H144" s="2">
        <v>0</v>
      </c>
    </row>
    <row r="145" spans="1:11">
      <c r="A145" s="3">
        <v>45841</v>
      </c>
      <c r="B145" s="4">
        <v>0.5</v>
      </c>
      <c r="C145" s="2">
        <v>100</v>
      </c>
      <c r="J145" s="2">
        <v>15</v>
      </c>
    </row>
    <row r="146" spans="1:11">
      <c r="A146" s="3">
        <v>45844</v>
      </c>
      <c r="B146" s="4">
        <v>0.5</v>
      </c>
      <c r="C146" s="2">
        <v>100</v>
      </c>
    </row>
    <row r="147" spans="1:11">
      <c r="A147" s="3">
        <v>45845</v>
      </c>
      <c r="B147" s="4">
        <v>0.46111111111111108</v>
      </c>
      <c r="C147" s="2">
        <v>100</v>
      </c>
      <c r="D147" s="2" t="s">
        <v>12</v>
      </c>
      <c r="E147" s="2">
        <f>2857/20</f>
        <v>142.85</v>
      </c>
      <c r="F147" s="2">
        <f>2195/20</f>
        <v>109.75</v>
      </c>
      <c r="G147" s="2">
        <f>1658/20</f>
        <v>82.9</v>
      </c>
      <c r="H147" s="2">
        <v>0</v>
      </c>
    </row>
    <row r="148" spans="1:11">
      <c r="A148" s="3">
        <v>45846</v>
      </c>
      <c r="B148" s="4">
        <v>0.50694444444444442</v>
      </c>
      <c r="C148" s="2">
        <v>100</v>
      </c>
      <c r="D148" s="2" t="s">
        <v>12</v>
      </c>
      <c r="E148" s="2">
        <f>2857/20</f>
        <v>142.85</v>
      </c>
      <c r="F148" s="2">
        <f>2195/20</f>
        <v>109.75</v>
      </c>
      <c r="G148" s="2">
        <f>1658/20</f>
        <v>82.9</v>
      </c>
      <c r="H148" s="2">
        <v>0</v>
      </c>
    </row>
    <row r="149" spans="1:11">
      <c r="A149" s="3">
        <v>45847</v>
      </c>
      <c r="B149" s="4">
        <v>0.4548611111111111</v>
      </c>
      <c r="C149" s="2">
        <v>100</v>
      </c>
      <c r="D149" s="2" t="s">
        <v>12</v>
      </c>
      <c r="E149" s="2">
        <f>2857/20</f>
        <v>142.85</v>
      </c>
      <c r="F149" s="2">
        <f>2195/20</f>
        <v>109.75</v>
      </c>
      <c r="G149" s="2">
        <f>1658/20</f>
        <v>82.9</v>
      </c>
      <c r="H149" s="2">
        <v>0</v>
      </c>
    </row>
    <row r="150" spans="1:11">
      <c r="A150" s="3">
        <v>45848</v>
      </c>
      <c r="B150" s="4">
        <v>0.48333333333333334</v>
      </c>
      <c r="C150" s="2">
        <v>100</v>
      </c>
      <c r="J150" s="2">
        <v>15</v>
      </c>
    </row>
    <row r="151" spans="1:11">
      <c r="A151" s="3">
        <v>45848</v>
      </c>
      <c r="B151" s="4">
        <v>0.55972222222222223</v>
      </c>
      <c r="C151" s="2">
        <v>400</v>
      </c>
      <c r="D151" s="2" t="s">
        <v>12</v>
      </c>
      <c r="E151" s="2">
        <f>2857/20</f>
        <v>142.85</v>
      </c>
      <c r="F151" s="2">
        <f>2195/20</f>
        <v>109.75</v>
      </c>
      <c r="G151" s="2">
        <f>1658/20</f>
        <v>82.9</v>
      </c>
      <c r="H151" s="2">
        <v>0</v>
      </c>
    </row>
    <row r="152" spans="1:11">
      <c r="A152" s="3">
        <v>45851</v>
      </c>
      <c r="B152" s="4">
        <v>0.27777777777777779</v>
      </c>
      <c r="C152" s="2">
        <v>133.33333329999999</v>
      </c>
      <c r="K152" s="2" t="s">
        <v>14</v>
      </c>
    </row>
    <row r="153" spans="1:11">
      <c r="A153" s="3">
        <v>45851</v>
      </c>
      <c r="B153" s="4">
        <v>0.41666666666666669</v>
      </c>
      <c r="C153" s="2">
        <v>133.33333329999999</v>
      </c>
    </row>
    <row r="154" spans="1:11">
      <c r="A154" s="3">
        <v>45851</v>
      </c>
      <c r="B154" s="4">
        <v>0.54166666666666663</v>
      </c>
      <c r="C154" s="2">
        <v>133.33333329999999</v>
      </c>
    </row>
    <row r="155" spans="1:11">
      <c r="A155" s="3">
        <v>45851</v>
      </c>
      <c r="B155" s="4">
        <v>0.66666666666666663</v>
      </c>
      <c r="C155" s="2">
        <v>133.33333329999999</v>
      </c>
    </row>
    <row r="156" spans="1:11">
      <c r="A156" s="3">
        <v>45852</v>
      </c>
      <c r="B156" s="4">
        <v>0.27777777777777779</v>
      </c>
      <c r="C156" s="2">
        <v>133.33333329999999</v>
      </c>
    </row>
    <row r="157" spans="1:11">
      <c r="A157" s="3">
        <v>45852</v>
      </c>
      <c r="B157" s="4">
        <v>0.41666666666666669</v>
      </c>
      <c r="C157" s="2">
        <v>133.33333329999999</v>
      </c>
    </row>
    <row r="158" spans="1:11">
      <c r="A158" s="3">
        <v>45852</v>
      </c>
      <c r="B158" s="4">
        <v>0.54166666666666663</v>
      </c>
      <c r="C158" s="2">
        <v>133.33333329999999</v>
      </c>
    </row>
    <row r="159" spans="1:11">
      <c r="A159" s="3">
        <v>45852</v>
      </c>
      <c r="B159" s="4">
        <v>0.66666666666666663</v>
      </c>
      <c r="C159" s="2">
        <v>133.33333329999999</v>
      </c>
    </row>
    <row r="160" spans="1:11">
      <c r="A160" s="3">
        <v>45853</v>
      </c>
      <c r="B160" s="4">
        <v>0.27777777777777779</v>
      </c>
      <c r="C160" s="2">
        <v>133.33333329999999</v>
      </c>
    </row>
    <row r="161" spans="1:10">
      <c r="A161" s="3">
        <v>45853</v>
      </c>
      <c r="B161" s="4">
        <v>0.41666666666666669</v>
      </c>
      <c r="C161" s="2">
        <v>133.33333329999999</v>
      </c>
    </row>
    <row r="162" spans="1:10">
      <c r="A162" s="3">
        <v>45853</v>
      </c>
      <c r="B162" s="4">
        <v>0.54166666666666663</v>
      </c>
      <c r="C162" s="2">
        <v>133.33333329999999</v>
      </c>
    </row>
    <row r="163" spans="1:10">
      <c r="A163" s="3">
        <v>45853</v>
      </c>
      <c r="B163" s="4">
        <v>0.66666666666666663</v>
      </c>
      <c r="C163" s="2">
        <v>133.33333329999999</v>
      </c>
    </row>
    <row r="164" spans="1:10">
      <c r="A164" s="3">
        <v>45853</v>
      </c>
      <c r="B164" s="4">
        <v>0.74791666666666667</v>
      </c>
      <c r="C164" s="2">
        <v>100</v>
      </c>
      <c r="D164" s="2" t="s">
        <v>15</v>
      </c>
      <c r="E164" s="2">
        <f>2857/20</f>
        <v>142.85</v>
      </c>
      <c r="F164" s="2">
        <f>1756/20</f>
        <v>87.8</v>
      </c>
      <c r="G164" s="2">
        <f>1898/20</f>
        <v>94.9</v>
      </c>
      <c r="H164" s="2">
        <f>0.221*0.85*1.75/20</f>
        <v>1.6436874999999997E-2</v>
      </c>
    </row>
    <row r="165" spans="1:10">
      <c r="A165" s="3">
        <v>45854</v>
      </c>
      <c r="B165" s="4">
        <v>0.27777777777777779</v>
      </c>
      <c r="C165" s="2">
        <v>133.33333329999999</v>
      </c>
    </row>
    <row r="166" spans="1:10">
      <c r="A166" s="3">
        <v>45854</v>
      </c>
      <c r="B166" s="4">
        <v>0.375</v>
      </c>
      <c r="C166" s="2">
        <v>100</v>
      </c>
      <c r="D166" s="2" t="s">
        <v>15</v>
      </c>
      <c r="E166" s="2">
        <f>2857/20</f>
        <v>142.85</v>
      </c>
      <c r="F166" s="2">
        <f>1756/20</f>
        <v>87.8</v>
      </c>
      <c r="G166" s="2">
        <f>1898/20</f>
        <v>94.9</v>
      </c>
      <c r="H166" s="2">
        <f>0.221*0.85*1.75/20</f>
        <v>1.6436874999999997E-2</v>
      </c>
    </row>
    <row r="167" spans="1:10">
      <c r="A167" s="3">
        <v>45854</v>
      </c>
      <c r="B167" s="4">
        <v>0.41666666666666669</v>
      </c>
      <c r="C167" s="2">
        <v>133.33333329999999</v>
      </c>
    </row>
    <row r="168" spans="1:10">
      <c r="A168" s="3">
        <v>45854</v>
      </c>
      <c r="B168" s="4">
        <v>0.54166666666666663</v>
      </c>
      <c r="C168" s="2">
        <v>133.33333329999999</v>
      </c>
    </row>
    <row r="169" spans="1:10">
      <c r="A169" s="3">
        <v>45854</v>
      </c>
      <c r="B169" s="4">
        <v>0.5625</v>
      </c>
      <c r="C169" s="2">
        <v>100</v>
      </c>
      <c r="J169" s="2">
        <v>15</v>
      </c>
    </row>
    <row r="170" spans="1:10">
      <c r="A170" s="3">
        <v>45854</v>
      </c>
      <c r="B170" s="4">
        <v>0.66666666666666663</v>
      </c>
      <c r="C170" s="2">
        <v>133.33333329999999</v>
      </c>
    </row>
    <row r="171" spans="1:10">
      <c r="A171" s="3">
        <v>45855</v>
      </c>
      <c r="B171" s="4">
        <v>0.27777777777777779</v>
      </c>
      <c r="C171" s="2">
        <v>133.33333329999999</v>
      </c>
    </row>
    <row r="172" spans="1:10">
      <c r="A172" s="3">
        <v>45855</v>
      </c>
      <c r="B172" s="4">
        <v>0.41666666666666669</v>
      </c>
      <c r="C172" s="2">
        <v>133.33333329999999</v>
      </c>
    </row>
    <row r="173" spans="1:10">
      <c r="A173" s="3">
        <v>45855</v>
      </c>
      <c r="B173" s="4">
        <v>0.54166666666666663</v>
      </c>
      <c r="C173" s="2">
        <v>133.33333329999999</v>
      </c>
    </row>
    <row r="174" spans="1:10">
      <c r="A174" s="3">
        <v>45855</v>
      </c>
      <c r="B174" s="4">
        <v>0.5</v>
      </c>
      <c r="C174" s="2">
        <v>100</v>
      </c>
      <c r="D174" s="2" t="s">
        <v>15</v>
      </c>
      <c r="E174" s="2">
        <f>2857/20</f>
        <v>142.85</v>
      </c>
      <c r="F174" s="2">
        <f>1756/20</f>
        <v>87.8</v>
      </c>
      <c r="G174" s="2">
        <f>1898/20</f>
        <v>94.9</v>
      </c>
      <c r="H174" s="2">
        <f>0.221*0.85*1.75/20</f>
        <v>1.6436874999999997E-2</v>
      </c>
    </row>
    <row r="175" spans="1:10">
      <c r="A175" s="3">
        <v>45855</v>
      </c>
      <c r="B175" s="4">
        <v>0.66666666666666663</v>
      </c>
      <c r="C175" s="2">
        <v>133.33333329999999</v>
      </c>
    </row>
    <row r="176" spans="1:10">
      <c r="A176" s="3">
        <v>45856</v>
      </c>
      <c r="B176" s="4">
        <v>0.27777777777777779</v>
      </c>
      <c r="C176" s="2">
        <v>133.33333329999999</v>
      </c>
    </row>
    <row r="177" spans="1:8">
      <c r="A177" s="3">
        <v>45856</v>
      </c>
      <c r="B177" s="4">
        <v>0.41666666666666669</v>
      </c>
      <c r="C177" s="2">
        <v>133.33333329999999</v>
      </c>
    </row>
    <row r="178" spans="1:8">
      <c r="A178" s="3">
        <v>45856</v>
      </c>
      <c r="B178" s="4">
        <v>0.54166666666666663</v>
      </c>
      <c r="C178" s="2">
        <v>133.33333329999999</v>
      </c>
    </row>
    <row r="179" spans="1:8">
      <c r="A179" s="3">
        <v>45856</v>
      </c>
      <c r="B179" s="4">
        <v>0.66666666666666663</v>
      </c>
      <c r="C179" s="2">
        <v>133.33333329999999</v>
      </c>
    </row>
    <row r="180" spans="1:8">
      <c r="A180" s="3">
        <v>45857</v>
      </c>
      <c r="B180" s="4">
        <v>0.27777777777777779</v>
      </c>
      <c r="C180" s="2">
        <v>133.33333329999999</v>
      </c>
    </row>
    <row r="181" spans="1:8">
      <c r="A181" s="3">
        <v>45857</v>
      </c>
      <c r="B181" s="4">
        <v>0.41666666666666669</v>
      </c>
      <c r="C181" s="2">
        <v>133.33333329999999</v>
      </c>
    </row>
    <row r="182" spans="1:8">
      <c r="A182" s="3">
        <v>45857</v>
      </c>
      <c r="B182" s="4">
        <v>0.54166666666666663</v>
      </c>
      <c r="C182" s="2">
        <v>133.33333329999999</v>
      </c>
    </row>
    <row r="183" spans="1:8">
      <c r="A183" s="3">
        <v>45857</v>
      </c>
      <c r="B183" s="4">
        <v>0.66666666666666663</v>
      </c>
      <c r="C183" s="2">
        <v>133.33333329999999</v>
      </c>
    </row>
    <row r="184" spans="1:8">
      <c r="A184" s="3">
        <v>45858</v>
      </c>
      <c r="B184" s="4">
        <v>0.27777777777777779</v>
      </c>
      <c r="C184" s="2">
        <v>133.33333329999999</v>
      </c>
    </row>
    <row r="185" spans="1:8">
      <c r="A185" s="3">
        <v>45858</v>
      </c>
      <c r="B185" s="4">
        <v>0.41666666666666669</v>
      </c>
      <c r="C185" s="2">
        <v>133.33333329999999</v>
      </c>
    </row>
    <row r="186" spans="1:8">
      <c r="A186" s="3">
        <v>45858</v>
      </c>
      <c r="B186" s="4">
        <v>0.53472222222222221</v>
      </c>
      <c r="C186" s="2">
        <v>100</v>
      </c>
      <c r="D186" s="2" t="s">
        <v>15</v>
      </c>
      <c r="E186" s="2">
        <f>2857/20</f>
        <v>142.85</v>
      </c>
      <c r="F186" s="2">
        <f>1756/20</f>
        <v>87.8</v>
      </c>
      <c r="G186" s="2">
        <f>1898/20</f>
        <v>94.9</v>
      </c>
      <c r="H186" s="2">
        <f>0.221*0.85*1.75/20</f>
        <v>1.6436874999999997E-2</v>
      </c>
    </row>
    <row r="187" spans="1:8">
      <c r="A187" s="3">
        <v>45858</v>
      </c>
      <c r="B187" s="4">
        <v>0.54166666666666663</v>
      </c>
      <c r="C187" s="2">
        <v>133.33333329999999</v>
      </c>
    </row>
    <row r="188" spans="1:8">
      <c r="A188" s="3">
        <v>45858</v>
      </c>
      <c r="B188" s="4">
        <v>0.66666666666666663</v>
      </c>
      <c r="C188" s="2">
        <v>133.33333329999999</v>
      </c>
    </row>
    <row r="189" spans="1:8">
      <c r="A189" s="3">
        <v>45859</v>
      </c>
      <c r="B189" s="4">
        <v>0.27777777777777779</v>
      </c>
      <c r="C189" s="2">
        <v>133.33333329999999</v>
      </c>
    </row>
    <row r="190" spans="1:8">
      <c r="A190" s="3">
        <v>45859</v>
      </c>
      <c r="B190" s="4">
        <v>0.41666666666666669</v>
      </c>
      <c r="C190" s="2">
        <v>133.33333329999999</v>
      </c>
    </row>
    <row r="191" spans="1:8">
      <c r="A191" s="3">
        <v>45859</v>
      </c>
      <c r="B191" s="4">
        <v>0.54166666666666663</v>
      </c>
      <c r="C191" s="2">
        <v>133.33333329999999</v>
      </c>
    </row>
    <row r="192" spans="1:8">
      <c r="A192" s="3">
        <v>45859</v>
      </c>
      <c r="B192" s="4">
        <v>0.66666666666666663</v>
      </c>
      <c r="C192" s="2">
        <v>133.33333329999999</v>
      </c>
    </row>
    <row r="193" spans="1:9">
      <c r="A193" s="3">
        <v>45859</v>
      </c>
      <c r="B193" s="4">
        <v>0.72916666666666663</v>
      </c>
      <c r="C193" s="2">
        <v>100</v>
      </c>
      <c r="D193" s="2" t="s">
        <v>15</v>
      </c>
      <c r="E193" s="2">
        <f>2857/20</f>
        <v>142.85</v>
      </c>
      <c r="F193" s="2">
        <f>1756/20</f>
        <v>87.8</v>
      </c>
      <c r="G193" s="2">
        <f>1898/20</f>
        <v>94.9</v>
      </c>
      <c r="H193" s="2">
        <f>0.221*0.85*1.75/20</f>
        <v>1.6436874999999997E-2</v>
      </c>
    </row>
    <row r="194" spans="1:9">
      <c r="A194" s="3">
        <v>45860</v>
      </c>
      <c r="B194" s="4">
        <v>0.27777777777777779</v>
      </c>
      <c r="C194" s="2">
        <v>133.33333329999999</v>
      </c>
    </row>
    <row r="195" spans="1:9">
      <c r="A195" s="3">
        <v>45860</v>
      </c>
      <c r="B195" s="4">
        <v>0.41666666666666669</v>
      </c>
      <c r="C195" s="2">
        <v>133.33333329999999</v>
      </c>
    </row>
    <row r="196" spans="1:9">
      <c r="A196" s="3">
        <v>45860</v>
      </c>
      <c r="B196" s="4">
        <v>0.54166666666666663</v>
      </c>
      <c r="C196" s="2">
        <v>133.33333329999999</v>
      </c>
    </row>
    <row r="197" spans="1:9">
      <c r="A197" s="3">
        <v>45860</v>
      </c>
      <c r="B197" s="4">
        <v>0.66666666666666663</v>
      </c>
      <c r="C197" s="2">
        <v>133.33333329999999</v>
      </c>
    </row>
    <row r="198" spans="1:9">
      <c r="A198" s="3">
        <v>45861</v>
      </c>
      <c r="B198" s="4">
        <v>0.27777777777777779</v>
      </c>
      <c r="C198" s="2">
        <v>133.33333329999999</v>
      </c>
    </row>
    <row r="199" spans="1:9">
      <c r="A199" s="3">
        <v>45861</v>
      </c>
      <c r="B199" s="4">
        <v>0.41666666666666669</v>
      </c>
      <c r="C199" s="2">
        <v>133.33333329999999</v>
      </c>
    </row>
    <row r="200" spans="1:9">
      <c r="A200" s="3">
        <v>45861</v>
      </c>
      <c r="B200" s="4">
        <v>0.47847222222222219</v>
      </c>
      <c r="C200" s="2">
        <v>100</v>
      </c>
      <c r="D200" s="2" t="s">
        <v>15</v>
      </c>
      <c r="E200" s="2">
        <f>2857/20</f>
        <v>142.85</v>
      </c>
      <c r="F200" s="2">
        <f>1756/20</f>
        <v>87.8</v>
      </c>
      <c r="G200" s="2">
        <f>1898/20</f>
        <v>94.9</v>
      </c>
      <c r="H200" s="2">
        <f>0.221*0.85*1.75/20</f>
        <v>1.6436874999999997E-2</v>
      </c>
    </row>
    <row r="201" spans="1:9">
      <c r="A201" s="3">
        <v>45861</v>
      </c>
      <c r="B201" s="4">
        <v>0.54166666666666663</v>
      </c>
      <c r="C201" s="2">
        <v>133.33333329999999</v>
      </c>
    </row>
    <row r="202" spans="1:9">
      <c r="A202" s="3">
        <v>45861</v>
      </c>
      <c r="B202" s="4">
        <v>0.57986111111111105</v>
      </c>
      <c r="C202" s="2">
        <v>100</v>
      </c>
      <c r="I202" s="2">
        <f>(5.5+2.7+1.35+0.2+0.15)*1000/10/10</f>
        <v>98.999999999999972</v>
      </c>
    </row>
    <row r="203" spans="1:9">
      <c r="A203" s="3">
        <v>45861</v>
      </c>
      <c r="B203" s="4">
        <v>0.66666666666666663</v>
      </c>
      <c r="C203" s="2">
        <v>133.33333329999999</v>
      </c>
    </row>
    <row r="204" spans="1:9">
      <c r="A204" s="3">
        <v>45862</v>
      </c>
      <c r="B204" s="4">
        <v>0.27777777777777779</v>
      </c>
      <c r="C204" s="2">
        <v>133.33333329999999</v>
      </c>
    </row>
    <row r="205" spans="1:9">
      <c r="A205" s="3">
        <v>45862</v>
      </c>
      <c r="B205" s="4">
        <v>0.41666666666666669</v>
      </c>
      <c r="C205" s="2">
        <v>133.33333329999999</v>
      </c>
    </row>
    <row r="206" spans="1:9">
      <c r="A206" s="3">
        <v>45862</v>
      </c>
      <c r="B206" s="4">
        <v>0.54166666666666663</v>
      </c>
      <c r="C206" s="2">
        <v>133.33333329999999</v>
      </c>
    </row>
    <row r="207" spans="1:9">
      <c r="A207" s="3">
        <v>45862</v>
      </c>
      <c r="B207" s="4">
        <v>0.63194444444444442</v>
      </c>
      <c r="C207" s="2">
        <v>100</v>
      </c>
      <c r="D207" s="2" t="s">
        <v>15</v>
      </c>
      <c r="E207" s="2">
        <f>2857/20</f>
        <v>142.85</v>
      </c>
      <c r="F207" s="2">
        <f>1756/20</f>
        <v>87.8</v>
      </c>
      <c r="G207" s="2">
        <f>1898/20</f>
        <v>94.9</v>
      </c>
      <c r="H207" s="2">
        <f>0.221*0.85*1.75/20</f>
        <v>1.6436874999999997E-2</v>
      </c>
    </row>
    <row r="208" spans="1:9">
      <c r="A208" s="3">
        <v>45862</v>
      </c>
      <c r="B208" s="4">
        <v>0.66666666666666663</v>
      </c>
      <c r="C208" s="2">
        <v>133.33333329999999</v>
      </c>
    </row>
    <row r="209" spans="1:10">
      <c r="A209" s="3">
        <v>45863</v>
      </c>
      <c r="B209" s="4">
        <v>0.27777777777777779</v>
      </c>
      <c r="C209" s="2">
        <v>133.33333329999999</v>
      </c>
    </row>
    <row r="210" spans="1:10">
      <c r="A210" s="3">
        <v>45863</v>
      </c>
      <c r="B210" s="4">
        <v>0.41666666666666669</v>
      </c>
      <c r="C210" s="2">
        <v>133.33333329999999</v>
      </c>
    </row>
    <row r="211" spans="1:10">
      <c r="A211" s="3">
        <v>45863</v>
      </c>
      <c r="B211" s="4">
        <v>0.54166666666666663</v>
      </c>
      <c r="C211" s="2">
        <v>133.33333329999999</v>
      </c>
    </row>
    <row r="212" spans="1:10">
      <c r="A212" s="3">
        <v>45863</v>
      </c>
      <c r="B212" s="4">
        <v>0.66666666666666663</v>
      </c>
      <c r="C212" s="2">
        <v>133.33333329999999</v>
      </c>
    </row>
    <row r="213" spans="1:10">
      <c r="A213" s="3">
        <v>45864</v>
      </c>
      <c r="B213" s="4">
        <v>0.27777777777777779</v>
      </c>
      <c r="C213" s="2">
        <v>133.33333329999999</v>
      </c>
    </row>
    <row r="214" spans="1:10">
      <c r="A214" s="3">
        <v>45864</v>
      </c>
      <c r="B214" s="4">
        <v>0.41666666666666669</v>
      </c>
      <c r="C214" s="2">
        <v>133.33333329999999</v>
      </c>
    </row>
    <row r="215" spans="1:10">
      <c r="A215" s="3">
        <v>45864</v>
      </c>
      <c r="B215" s="4">
        <v>0.54166666666666663</v>
      </c>
      <c r="C215" s="2">
        <v>133.33333329999999</v>
      </c>
    </row>
    <row r="216" spans="1:10">
      <c r="A216" s="3">
        <v>45864</v>
      </c>
      <c r="B216" s="4">
        <v>0.66666666666666663</v>
      </c>
      <c r="C216" s="2">
        <v>133.33333329999999</v>
      </c>
    </row>
    <row r="217" spans="1:10">
      <c r="A217" s="3">
        <v>45865</v>
      </c>
      <c r="B217" s="4">
        <v>0.27777777777777779</v>
      </c>
      <c r="C217" s="2">
        <v>133.33333329999999</v>
      </c>
    </row>
    <row r="218" spans="1:10">
      <c r="A218" s="3">
        <v>45865</v>
      </c>
      <c r="B218" s="4">
        <v>0.41666666666666669</v>
      </c>
      <c r="C218" s="2">
        <v>133.33333329999999</v>
      </c>
    </row>
    <row r="219" spans="1:10">
      <c r="A219" s="3">
        <v>45865</v>
      </c>
      <c r="B219" s="4">
        <v>0.4597222222222222</v>
      </c>
      <c r="C219" s="2">
        <v>100</v>
      </c>
      <c r="D219" s="2" t="s">
        <v>15</v>
      </c>
      <c r="E219" s="2">
        <f>2857/20</f>
        <v>142.85</v>
      </c>
      <c r="F219" s="2">
        <f>1756/20</f>
        <v>87.8</v>
      </c>
      <c r="G219" s="2">
        <f>1898/20</f>
        <v>94.9</v>
      </c>
      <c r="H219" s="2">
        <f>0.221*0.85*1.75/20</f>
        <v>1.6436874999999997E-2</v>
      </c>
    </row>
    <row r="220" spans="1:10">
      <c r="A220" s="3">
        <v>45865</v>
      </c>
      <c r="B220" s="4">
        <v>0.54166666666666663</v>
      </c>
      <c r="C220" s="2">
        <v>133.33333329999999</v>
      </c>
    </row>
    <row r="221" spans="1:10">
      <c r="A221" s="3">
        <v>45865</v>
      </c>
      <c r="B221" s="4">
        <v>0.59861111111111109</v>
      </c>
      <c r="C221" s="2">
        <v>100</v>
      </c>
      <c r="J221" s="2">
        <v>15</v>
      </c>
    </row>
    <row r="222" spans="1:10">
      <c r="A222" s="3">
        <v>45865</v>
      </c>
      <c r="B222" s="4">
        <v>0.66666666666666663</v>
      </c>
      <c r="C222" s="2">
        <v>133.33333329999999</v>
      </c>
    </row>
    <row r="223" spans="1:10">
      <c r="A223" s="3">
        <v>45866</v>
      </c>
      <c r="B223" s="4">
        <v>0.27777777777777779</v>
      </c>
      <c r="C223" s="2">
        <v>133.33333329999999</v>
      </c>
    </row>
    <row r="224" spans="1:10">
      <c r="A224" s="3">
        <v>45866</v>
      </c>
      <c r="B224" s="4">
        <v>0.41666666666666669</v>
      </c>
      <c r="C224" s="2">
        <v>133.33333329999999</v>
      </c>
    </row>
    <row r="225" spans="1:8">
      <c r="A225" s="3">
        <v>45866</v>
      </c>
      <c r="B225" s="4">
        <v>0.54166666666666663</v>
      </c>
      <c r="C225" s="2">
        <v>133.33333329999999</v>
      </c>
    </row>
    <row r="226" spans="1:8">
      <c r="A226" s="3">
        <v>45866</v>
      </c>
      <c r="B226" s="4">
        <v>0.66666666666666663</v>
      </c>
      <c r="C226" s="2">
        <v>133.33333329999999</v>
      </c>
    </row>
    <row r="227" spans="1:8">
      <c r="A227" s="3">
        <v>45866</v>
      </c>
      <c r="B227" s="4">
        <v>0.5</v>
      </c>
      <c r="C227" s="2">
        <v>100</v>
      </c>
      <c r="D227" s="2" t="s">
        <v>15</v>
      </c>
      <c r="E227" s="2">
        <f>2857/20</f>
        <v>142.85</v>
      </c>
      <c r="F227" s="2">
        <f>1756/20</f>
        <v>87.8</v>
      </c>
      <c r="G227" s="2">
        <f>1898/20</f>
        <v>94.9</v>
      </c>
      <c r="H227" s="2">
        <f>0.221*0.85*1.75/20</f>
        <v>1.6436874999999997E-2</v>
      </c>
    </row>
    <row r="228" spans="1:8">
      <c r="A228" s="3">
        <v>45867</v>
      </c>
      <c r="B228" s="4">
        <v>0.27777777777777779</v>
      </c>
      <c r="C228" s="2">
        <v>133.33333329999999</v>
      </c>
    </row>
    <row r="229" spans="1:8">
      <c r="A229" s="3">
        <v>45867</v>
      </c>
      <c r="B229" s="4">
        <v>0.41666666666666669</v>
      </c>
      <c r="C229" s="2">
        <v>133.33333329999999</v>
      </c>
    </row>
    <row r="230" spans="1:8">
      <c r="A230" s="3">
        <v>45867</v>
      </c>
      <c r="B230" s="4">
        <v>0.54166666666666663</v>
      </c>
      <c r="C230" s="2">
        <v>133.33333329999999</v>
      </c>
    </row>
    <row r="231" spans="1:8">
      <c r="A231" s="3">
        <v>45867</v>
      </c>
      <c r="B231" s="4">
        <v>0.64097222222222217</v>
      </c>
      <c r="C231" s="2">
        <v>100</v>
      </c>
      <c r="D231" s="2" t="s">
        <v>15</v>
      </c>
      <c r="E231" s="2">
        <f>2857/20</f>
        <v>142.85</v>
      </c>
      <c r="F231" s="2">
        <f>1756/20</f>
        <v>87.8</v>
      </c>
      <c r="G231" s="2">
        <f>1898/20</f>
        <v>94.9</v>
      </c>
      <c r="H231" s="2">
        <f>0.221*0.85*1.75/20</f>
        <v>1.6436874999999997E-2</v>
      </c>
    </row>
    <row r="232" spans="1:8">
      <c r="A232" s="3">
        <v>45867</v>
      </c>
      <c r="B232" s="4">
        <v>0.66666666666666663</v>
      </c>
      <c r="C232" s="2">
        <v>133.33333329999999</v>
      </c>
    </row>
    <row r="233" spans="1:8">
      <c r="A233" s="3">
        <v>45868</v>
      </c>
      <c r="B233" s="4">
        <v>0.27777777777777779</v>
      </c>
      <c r="C233" s="2">
        <v>133.33333329999999</v>
      </c>
    </row>
    <row r="234" spans="1:8">
      <c r="A234" s="3">
        <v>45868</v>
      </c>
      <c r="B234" s="4">
        <v>0.41666666666666669</v>
      </c>
      <c r="C234" s="2">
        <v>133.33333329999999</v>
      </c>
    </row>
    <row r="235" spans="1:8">
      <c r="A235" s="3">
        <v>45868</v>
      </c>
      <c r="B235" s="4">
        <v>0.54166666666666663</v>
      </c>
      <c r="C235" s="2">
        <v>133.33333329999999</v>
      </c>
    </row>
    <row r="236" spans="1:8">
      <c r="A236" s="3">
        <v>45868</v>
      </c>
      <c r="B236" s="4">
        <v>0.66666666666666663</v>
      </c>
      <c r="C236" s="2">
        <v>133.33333329999999</v>
      </c>
    </row>
    <row r="237" spans="1:8">
      <c r="A237" s="3">
        <v>45868</v>
      </c>
      <c r="B237" s="4">
        <v>0.5</v>
      </c>
      <c r="C237" s="2">
        <v>100</v>
      </c>
      <c r="D237" s="2" t="s">
        <v>15</v>
      </c>
      <c r="E237" s="2">
        <f>2857/20</f>
        <v>142.85</v>
      </c>
      <c r="F237" s="2">
        <f>1756/20</f>
        <v>87.8</v>
      </c>
      <c r="G237" s="2">
        <f>1898/20</f>
        <v>94.9</v>
      </c>
      <c r="H237" s="2">
        <f>0.221*0.85*1.75/20</f>
        <v>1.6436874999999997E-2</v>
      </c>
    </row>
    <row r="238" spans="1:8">
      <c r="A238" s="3">
        <v>45869</v>
      </c>
      <c r="B238" s="4">
        <v>0.27777777777777779</v>
      </c>
      <c r="C238" s="2">
        <v>133.33333329999999</v>
      </c>
    </row>
    <row r="239" spans="1:8">
      <c r="A239" s="3">
        <v>45869</v>
      </c>
      <c r="B239" s="4">
        <v>0.375</v>
      </c>
      <c r="C239" s="2">
        <v>100</v>
      </c>
      <c r="D239" s="2" t="s">
        <v>15</v>
      </c>
      <c r="E239" s="2">
        <f>2857/20</f>
        <v>142.85</v>
      </c>
      <c r="F239" s="2">
        <f>1756/20</f>
        <v>87.8</v>
      </c>
      <c r="G239" s="2">
        <f>1898/20</f>
        <v>94.9</v>
      </c>
      <c r="H239" s="2">
        <f>0.221*0.85*1.75/20</f>
        <v>1.6436874999999997E-2</v>
      </c>
    </row>
    <row r="240" spans="1:8">
      <c r="A240" s="3">
        <v>45869</v>
      </c>
      <c r="B240" s="4">
        <v>0.41666666666666669</v>
      </c>
      <c r="C240" s="2">
        <v>133.33333329999999</v>
      </c>
    </row>
    <row r="241" spans="1:9">
      <c r="A241" s="3">
        <v>45869</v>
      </c>
      <c r="B241" s="4">
        <v>0.54166666666666663</v>
      </c>
      <c r="C241" s="2">
        <v>133.33333329999999</v>
      </c>
    </row>
    <row r="242" spans="1:9">
      <c r="A242" s="3">
        <v>45869</v>
      </c>
      <c r="B242" s="4">
        <v>0.54166666666666663</v>
      </c>
      <c r="C242" s="2">
        <v>100</v>
      </c>
      <c r="I242" s="2">
        <f>(5.5+2.7+1.35+0.2+0.15)*1000/10/10</f>
        <v>98.999999999999972</v>
      </c>
    </row>
    <row r="243" spans="1:9">
      <c r="A243" s="3">
        <v>45869</v>
      </c>
      <c r="B243" s="4">
        <v>0.66666666666666663</v>
      </c>
      <c r="C243" s="2">
        <v>133.33333329999999</v>
      </c>
    </row>
    <row r="244" spans="1:9">
      <c r="A244" s="3">
        <v>45870</v>
      </c>
      <c r="B244" s="4">
        <v>0.27777777777777779</v>
      </c>
      <c r="C244" s="2">
        <v>133.33333329999999</v>
      </c>
    </row>
    <row r="245" spans="1:9">
      <c r="A245" s="3">
        <v>45870</v>
      </c>
      <c r="B245" s="4">
        <v>0.41666666666666669</v>
      </c>
      <c r="C245" s="2">
        <v>133.33333329999999</v>
      </c>
    </row>
    <row r="246" spans="1:9">
      <c r="A246" s="3">
        <v>45870</v>
      </c>
      <c r="B246" s="4">
        <v>0.54166666666666663</v>
      </c>
      <c r="C246" s="2">
        <v>133.33333329999999</v>
      </c>
    </row>
    <row r="247" spans="1:9">
      <c r="A247" s="3">
        <v>45870</v>
      </c>
      <c r="B247" s="4">
        <v>0.66666666666666663</v>
      </c>
      <c r="C247" s="2">
        <v>133.33333329999999</v>
      </c>
    </row>
    <row r="248" spans="1:9">
      <c r="A248" s="3">
        <v>45871</v>
      </c>
      <c r="B248" s="4">
        <v>0.27777777777777779</v>
      </c>
      <c r="C248" s="2">
        <v>133.33333329999999</v>
      </c>
    </row>
    <row r="249" spans="1:9">
      <c r="A249" s="3">
        <v>45871</v>
      </c>
      <c r="B249" s="4">
        <v>0.41666666666666669</v>
      </c>
      <c r="C249" s="2">
        <v>133.33333329999999</v>
      </c>
    </row>
    <row r="250" spans="1:9">
      <c r="A250" s="3">
        <v>45871</v>
      </c>
      <c r="B250" s="4">
        <v>0.54166666666666663</v>
      </c>
      <c r="C250" s="2">
        <v>133.33333329999999</v>
      </c>
    </row>
    <row r="251" spans="1:9">
      <c r="A251" s="3">
        <v>45871</v>
      </c>
      <c r="B251" s="4">
        <v>0.66666666666666663</v>
      </c>
      <c r="C251" s="2">
        <v>133.33333329999999</v>
      </c>
    </row>
    <row r="252" spans="1:9">
      <c r="A252" s="3">
        <v>45872</v>
      </c>
      <c r="B252" s="4">
        <v>0.27777777777777779</v>
      </c>
      <c r="C252" s="2">
        <v>133.33333329999999</v>
      </c>
    </row>
    <row r="253" spans="1:9">
      <c r="A253" s="3">
        <v>45872</v>
      </c>
      <c r="B253" s="4">
        <v>0.37777777777777777</v>
      </c>
      <c r="C253" s="2">
        <v>100</v>
      </c>
      <c r="D253" s="2" t="s">
        <v>15</v>
      </c>
      <c r="E253" s="2">
        <f>2857/20</f>
        <v>142.85</v>
      </c>
      <c r="F253" s="2">
        <f>1756/20</f>
        <v>87.8</v>
      </c>
      <c r="G253" s="2">
        <f>1898/20</f>
        <v>94.9</v>
      </c>
      <c r="H253" s="2">
        <f>0.221*0.85*1.75/20</f>
        <v>1.6436874999999997E-2</v>
      </c>
    </row>
    <row r="254" spans="1:9">
      <c r="A254" s="3">
        <v>45872</v>
      </c>
      <c r="B254" s="4">
        <v>0.41666666666666669</v>
      </c>
      <c r="C254" s="2">
        <v>133.33333329999999</v>
      </c>
    </row>
    <row r="255" spans="1:9">
      <c r="A255" s="3">
        <v>45872</v>
      </c>
      <c r="B255" s="4">
        <v>0.54166666666666663</v>
      </c>
      <c r="C255" s="2">
        <v>133.33333329999999</v>
      </c>
    </row>
    <row r="256" spans="1:9">
      <c r="A256" s="3">
        <v>45872</v>
      </c>
      <c r="B256" s="4">
        <v>0.66666666666666663</v>
      </c>
      <c r="C256" s="2">
        <v>133.33333329999999</v>
      </c>
    </row>
    <row r="257" spans="1:11">
      <c r="A257" s="3">
        <v>45873</v>
      </c>
      <c r="B257" s="4">
        <v>0.27777777777777779</v>
      </c>
      <c r="C257" s="2">
        <v>133.33333329999999</v>
      </c>
      <c r="K257" s="2" t="s">
        <v>16</v>
      </c>
    </row>
    <row r="258" spans="1:11">
      <c r="A258" s="3">
        <v>45873</v>
      </c>
      <c r="B258" s="4">
        <v>0.375</v>
      </c>
      <c r="C258" s="2">
        <v>100</v>
      </c>
      <c r="D258" s="2" t="s">
        <v>15</v>
      </c>
      <c r="E258" s="2">
        <f>2857/20</f>
        <v>142.85</v>
      </c>
      <c r="F258" s="2">
        <f>1756/20</f>
        <v>87.8</v>
      </c>
      <c r="G258" s="2">
        <f>1898/20</f>
        <v>94.9</v>
      </c>
      <c r="H258" s="2">
        <f>0.221*0.85*1.75/20</f>
        <v>1.6436874999999997E-2</v>
      </c>
    </row>
    <row r="259" spans="1:11">
      <c r="A259" s="3">
        <v>45873</v>
      </c>
      <c r="B259" s="4">
        <v>0.41666666666666669</v>
      </c>
      <c r="C259" s="2">
        <v>133.33333329999999</v>
      </c>
    </row>
    <row r="260" spans="1:11">
      <c r="A260" s="3">
        <v>45873</v>
      </c>
      <c r="B260" s="4">
        <v>0.45833333333333331</v>
      </c>
      <c r="C260" s="2">
        <v>100</v>
      </c>
      <c r="J260" s="2">
        <v>15</v>
      </c>
    </row>
    <row r="261" spans="1:11">
      <c r="A261" s="3">
        <v>45873</v>
      </c>
      <c r="B261" s="4">
        <v>0.54166666666666663</v>
      </c>
      <c r="C261" s="2">
        <v>133.33333329999999</v>
      </c>
    </row>
    <row r="262" spans="1:11">
      <c r="A262" s="3">
        <v>45873</v>
      </c>
      <c r="B262" s="4">
        <v>0.66666666666666663</v>
      </c>
      <c r="C262" s="2">
        <v>133.33333329999999</v>
      </c>
    </row>
    <row r="263" spans="1:11">
      <c r="A263" s="3">
        <v>45874</v>
      </c>
      <c r="B263" s="4">
        <v>0.27777777777777779</v>
      </c>
      <c r="C263" s="2">
        <v>133.33333329999999</v>
      </c>
    </row>
    <row r="264" spans="1:11">
      <c r="A264" s="3">
        <v>45874</v>
      </c>
      <c r="B264" s="4">
        <v>0.35416666666666669</v>
      </c>
      <c r="C264" s="2">
        <v>100</v>
      </c>
      <c r="D264" s="2" t="s">
        <v>15</v>
      </c>
      <c r="E264" s="2">
        <f>2857/20</f>
        <v>142.85</v>
      </c>
      <c r="F264" s="2">
        <f>1756/20</f>
        <v>87.8</v>
      </c>
      <c r="G264" s="2">
        <f>1898/20</f>
        <v>94.9</v>
      </c>
      <c r="H264" s="2">
        <f>0.221*0.85*1.75/20</f>
        <v>1.6436874999999997E-2</v>
      </c>
    </row>
    <row r="265" spans="1:11">
      <c r="A265" s="3">
        <v>45874</v>
      </c>
      <c r="B265" s="4">
        <v>0.41666666666666669</v>
      </c>
      <c r="C265" s="2">
        <v>133.33333329999999</v>
      </c>
    </row>
    <row r="266" spans="1:11">
      <c r="A266" s="3">
        <v>45874</v>
      </c>
      <c r="B266" s="4">
        <v>0.54166666666666663</v>
      </c>
      <c r="C266" s="2">
        <v>133.33333329999999</v>
      </c>
    </row>
    <row r="267" spans="1:11">
      <c r="A267" s="3">
        <v>45874</v>
      </c>
      <c r="B267" s="4">
        <v>0.66666666666666663</v>
      </c>
      <c r="C267" s="2">
        <v>133.33333329999999</v>
      </c>
    </row>
    <row r="268" spans="1:11">
      <c r="A268" s="3">
        <v>45875</v>
      </c>
      <c r="B268" s="4">
        <v>0.27777777777777779</v>
      </c>
      <c r="C268" s="2">
        <v>133.33333329999999</v>
      </c>
    </row>
    <row r="269" spans="1:11">
      <c r="A269" s="3">
        <v>45875</v>
      </c>
      <c r="B269" s="4">
        <v>0.35416666666666669</v>
      </c>
      <c r="C269" s="2">
        <v>100</v>
      </c>
      <c r="D269" s="2" t="s">
        <v>15</v>
      </c>
      <c r="E269" s="2">
        <f>2857/20</f>
        <v>142.85</v>
      </c>
      <c r="F269" s="2">
        <f>1756/20</f>
        <v>87.8</v>
      </c>
      <c r="G269" s="2">
        <f>1898/20</f>
        <v>94.9</v>
      </c>
      <c r="H269" s="2">
        <f>0.221*0.85*1.75/20</f>
        <v>1.6436874999999997E-2</v>
      </c>
    </row>
    <row r="270" spans="1:11">
      <c r="A270" s="3">
        <v>45875</v>
      </c>
      <c r="B270" s="4">
        <v>0.41666666666666669</v>
      </c>
      <c r="C270" s="2">
        <v>133.33333329999999</v>
      </c>
    </row>
    <row r="271" spans="1:11">
      <c r="A271" s="3">
        <v>45875</v>
      </c>
      <c r="B271" s="4">
        <v>0.54166666666666663</v>
      </c>
      <c r="C271" s="2">
        <v>133.33333329999999</v>
      </c>
    </row>
    <row r="272" spans="1:11">
      <c r="A272" s="3">
        <v>45875</v>
      </c>
      <c r="B272" s="4">
        <v>0.66666666666666663</v>
      </c>
      <c r="C272" s="2">
        <v>133.33333329999999</v>
      </c>
    </row>
    <row r="273" spans="1:9">
      <c r="A273" s="3">
        <v>45876</v>
      </c>
      <c r="B273" s="4">
        <v>0.27777777777777779</v>
      </c>
      <c r="C273" s="2">
        <v>133.33333329999999</v>
      </c>
    </row>
    <row r="274" spans="1:9">
      <c r="A274" s="3">
        <v>45876</v>
      </c>
      <c r="B274" s="4">
        <v>0.35416666666666669</v>
      </c>
      <c r="C274" s="2">
        <v>100</v>
      </c>
      <c r="D274" s="2" t="s">
        <v>15</v>
      </c>
      <c r="E274" s="2">
        <f>2857/20</f>
        <v>142.85</v>
      </c>
      <c r="F274" s="2">
        <f>1756/20</f>
        <v>87.8</v>
      </c>
      <c r="G274" s="2">
        <f>1898/20</f>
        <v>94.9</v>
      </c>
      <c r="H274" s="2">
        <f>0.221*0.85*1.75/20</f>
        <v>1.6436874999999997E-2</v>
      </c>
    </row>
    <row r="275" spans="1:9">
      <c r="A275" s="3">
        <v>45876</v>
      </c>
      <c r="B275" s="4">
        <v>0.41666666666666669</v>
      </c>
      <c r="C275" s="2">
        <v>133.33333329999999</v>
      </c>
    </row>
    <row r="276" spans="1:9">
      <c r="A276" s="3">
        <v>45876</v>
      </c>
      <c r="B276" s="4">
        <v>0.4375</v>
      </c>
      <c r="C276" s="2">
        <v>100</v>
      </c>
      <c r="I276" s="2">
        <f>(5.5+2.7+1.35+0.2+0.15)*1000/10/10</f>
        <v>98.999999999999972</v>
      </c>
    </row>
    <row r="277" spans="1:9">
      <c r="A277" s="3">
        <v>45876</v>
      </c>
      <c r="B277" s="4">
        <v>0.54166666666666663</v>
      </c>
      <c r="C277" s="2">
        <v>133.33333329999999</v>
      </c>
    </row>
    <row r="278" spans="1:9">
      <c r="A278" s="3">
        <v>45876</v>
      </c>
      <c r="B278" s="4">
        <v>0.66666666666666663</v>
      </c>
      <c r="C278" s="2">
        <v>133.33333329999999</v>
      </c>
    </row>
    <row r="279" spans="1:9">
      <c r="A279" s="3">
        <v>45877</v>
      </c>
      <c r="B279" s="4">
        <v>0.27777777777777779</v>
      </c>
      <c r="C279" s="2">
        <v>133.33333329999999</v>
      </c>
    </row>
    <row r="280" spans="1:9">
      <c r="A280" s="3">
        <v>45877</v>
      </c>
      <c r="B280" s="4">
        <v>0.41666666666666669</v>
      </c>
      <c r="C280" s="2">
        <v>133.33333329999999</v>
      </c>
    </row>
    <row r="281" spans="1:9">
      <c r="A281" s="3">
        <v>45877</v>
      </c>
      <c r="B281" s="4">
        <v>0.54166666666666663</v>
      </c>
      <c r="C281" s="2">
        <v>133.33333329999999</v>
      </c>
    </row>
    <row r="282" spans="1:9">
      <c r="A282" s="3">
        <v>45877</v>
      </c>
      <c r="B282" s="4">
        <v>0.66666666666666663</v>
      </c>
      <c r="C282" s="2">
        <v>133.33333329999999</v>
      </c>
    </row>
    <row r="283" spans="1:9">
      <c r="A283" s="3">
        <v>45878</v>
      </c>
      <c r="B283" s="4">
        <v>0.27777777777777779</v>
      </c>
      <c r="C283" s="2">
        <v>133.33333329999999</v>
      </c>
    </row>
    <row r="284" spans="1:9">
      <c r="A284" s="3">
        <v>45878</v>
      </c>
      <c r="B284" s="4">
        <v>0.41666666666666669</v>
      </c>
      <c r="C284" s="2">
        <v>133.33333329999999</v>
      </c>
    </row>
    <row r="285" spans="1:9">
      <c r="A285" s="3">
        <v>45878</v>
      </c>
      <c r="B285" s="4">
        <v>0.54166666666666663</v>
      </c>
      <c r="C285" s="2">
        <v>133.33333329999999</v>
      </c>
    </row>
    <row r="286" spans="1:9">
      <c r="A286" s="3">
        <v>45878</v>
      </c>
      <c r="B286" s="4">
        <v>0.66666666666666663</v>
      </c>
      <c r="C286" s="2">
        <v>133.33333329999999</v>
      </c>
    </row>
    <row r="287" spans="1:9">
      <c r="A287" s="3">
        <v>45879</v>
      </c>
      <c r="B287" s="4">
        <v>0.27777777777777779</v>
      </c>
      <c r="C287" s="2">
        <v>133.33333329999999</v>
      </c>
    </row>
    <row r="288" spans="1:9">
      <c r="A288" s="3">
        <v>45879</v>
      </c>
      <c r="B288" s="4">
        <v>0.35416666666666669</v>
      </c>
      <c r="C288" s="2">
        <v>100</v>
      </c>
      <c r="D288" s="2" t="s">
        <v>15</v>
      </c>
      <c r="E288" s="2">
        <f>2857/20</f>
        <v>142.85</v>
      </c>
      <c r="F288" s="2">
        <f>1756/20</f>
        <v>87.8</v>
      </c>
      <c r="G288" s="2">
        <f>1898/20</f>
        <v>94.9</v>
      </c>
      <c r="H288" s="2">
        <f>0.221*0.85*1.75/20</f>
        <v>1.6436874999999997E-2</v>
      </c>
    </row>
    <row r="289" spans="1:11">
      <c r="A289" s="3">
        <v>45879</v>
      </c>
      <c r="B289" s="4">
        <v>0.41666666666666669</v>
      </c>
      <c r="C289" s="2">
        <v>133.33333329999999</v>
      </c>
    </row>
    <row r="290" spans="1:11">
      <c r="A290" s="3">
        <v>45879</v>
      </c>
      <c r="B290" s="4">
        <v>0.54166666666666663</v>
      </c>
      <c r="C290" s="2">
        <v>133.33333329999999</v>
      </c>
    </row>
    <row r="291" spans="1:11">
      <c r="A291" s="3">
        <v>45879</v>
      </c>
      <c r="B291" s="4">
        <v>0.66666666666666663</v>
      </c>
      <c r="C291" s="2">
        <v>133.33333329999999</v>
      </c>
    </row>
    <row r="292" spans="1:11">
      <c r="A292" s="3">
        <v>45880</v>
      </c>
      <c r="B292" s="4">
        <v>0.27777777777777779</v>
      </c>
      <c r="C292" s="2">
        <v>133.33333329999999</v>
      </c>
    </row>
    <row r="293" spans="1:11">
      <c r="A293" s="3">
        <v>45880</v>
      </c>
      <c r="B293" s="4">
        <v>0.35416666666666669</v>
      </c>
      <c r="C293" s="2">
        <v>100</v>
      </c>
      <c r="D293" s="2" t="s">
        <v>15</v>
      </c>
      <c r="E293" s="2">
        <f>2857/20</f>
        <v>142.85</v>
      </c>
      <c r="F293" s="2">
        <f>1756/20</f>
        <v>87.8</v>
      </c>
      <c r="G293" s="2">
        <f>1898/20</f>
        <v>94.9</v>
      </c>
      <c r="H293" s="2">
        <f>0.221*0.85*1.75/20</f>
        <v>1.6436874999999997E-2</v>
      </c>
    </row>
    <row r="294" spans="1:11">
      <c r="A294" s="3">
        <v>45880</v>
      </c>
      <c r="B294" s="4">
        <v>0.41666666666666669</v>
      </c>
      <c r="C294" s="2">
        <v>133.33333329999999</v>
      </c>
    </row>
    <row r="295" spans="1:11">
      <c r="A295" s="3">
        <v>45880</v>
      </c>
      <c r="B295" s="4">
        <v>0.47222222222222227</v>
      </c>
      <c r="C295" s="2">
        <v>100</v>
      </c>
      <c r="J295" s="2">
        <v>15</v>
      </c>
    </row>
    <row r="296" spans="1:11">
      <c r="A296" s="3">
        <v>45880</v>
      </c>
      <c r="B296" s="4">
        <v>0.54166666666666663</v>
      </c>
      <c r="C296" s="2">
        <v>133.33333329999999</v>
      </c>
    </row>
    <row r="297" spans="1:11">
      <c r="A297" s="3">
        <v>45880</v>
      </c>
      <c r="B297" s="4">
        <v>0.66666666666666663</v>
      </c>
      <c r="C297" s="2">
        <v>133.33333329999999</v>
      </c>
    </row>
    <row r="298" spans="1:11">
      <c r="A298" s="3">
        <v>45881</v>
      </c>
      <c r="B298" s="4">
        <v>0.27777777777777779</v>
      </c>
      <c r="C298" s="2">
        <v>133.33333329999999</v>
      </c>
    </row>
    <row r="299" spans="1:11">
      <c r="A299" s="3">
        <v>45881</v>
      </c>
      <c r="B299" s="4">
        <v>0.41666666666666669</v>
      </c>
      <c r="C299" s="2">
        <v>133.33333329999999</v>
      </c>
    </row>
    <row r="300" spans="1:11">
      <c r="A300" s="3">
        <v>45881</v>
      </c>
      <c r="B300" s="4">
        <v>0.54166666666666663</v>
      </c>
      <c r="C300" s="2">
        <v>133.33333329999999</v>
      </c>
    </row>
    <row r="301" spans="1:11">
      <c r="A301" s="3">
        <v>45881</v>
      </c>
      <c r="B301" s="4">
        <v>0.66666666666666663</v>
      </c>
      <c r="C301" s="2">
        <v>133.33333329999999</v>
      </c>
    </row>
    <row r="302" spans="1:11">
      <c r="A302" s="3">
        <v>45882</v>
      </c>
      <c r="B302" s="4">
        <v>0.27777777777777779</v>
      </c>
      <c r="C302" s="2">
        <v>133.33333329999999</v>
      </c>
    </row>
    <row r="303" spans="1:11">
      <c r="A303" s="3">
        <v>45882</v>
      </c>
      <c r="B303" s="4">
        <v>0.41666666666666669</v>
      </c>
      <c r="C303" s="2">
        <v>133.33333329999999</v>
      </c>
      <c r="K303" s="2" t="s">
        <v>17</v>
      </c>
    </row>
    <row r="304" spans="1:11">
      <c r="A304" s="3">
        <v>45882</v>
      </c>
      <c r="B304" s="4">
        <v>0.47916666666666669</v>
      </c>
      <c r="C304" s="2">
        <v>100</v>
      </c>
      <c r="D304" s="2" t="s">
        <v>15</v>
      </c>
      <c r="E304" s="2">
        <f>2857/20</f>
        <v>142.85</v>
      </c>
      <c r="F304" s="2">
        <f>1756/20</f>
        <v>87.8</v>
      </c>
      <c r="G304" s="2">
        <f>1898/20</f>
        <v>94.9</v>
      </c>
      <c r="H304" s="2">
        <f>0.221*0.85*1.75/20</f>
        <v>1.6436874999999997E-2</v>
      </c>
    </row>
    <row r="305" spans="1:11">
      <c r="A305" s="3">
        <v>45882</v>
      </c>
      <c r="B305" s="4">
        <v>0.54166666666666663</v>
      </c>
      <c r="C305" s="2">
        <v>266.66666670000001</v>
      </c>
      <c r="K305" s="2" t="s">
        <v>18</v>
      </c>
    </row>
    <row r="306" spans="1:11">
      <c r="A306" s="3">
        <v>45882</v>
      </c>
      <c r="B306" s="4">
        <v>0.66666666666666663</v>
      </c>
      <c r="C306" s="2">
        <v>266.66666670000001</v>
      </c>
    </row>
    <row r="307" spans="1:11">
      <c r="A307" s="3">
        <v>45883</v>
      </c>
      <c r="B307" s="4">
        <v>0.27777777777777779</v>
      </c>
      <c r="C307" s="2">
        <v>266.66666670000001</v>
      </c>
    </row>
    <row r="308" spans="1:11">
      <c r="A308" s="3">
        <v>45883</v>
      </c>
      <c r="B308" s="4">
        <v>0.41666666666666669</v>
      </c>
      <c r="C308" s="2">
        <v>266.66666670000001</v>
      </c>
    </row>
    <row r="309" spans="1:11">
      <c r="A309" s="3">
        <v>45883</v>
      </c>
      <c r="B309" s="4">
        <v>0.5229166666666667</v>
      </c>
      <c r="C309" s="2">
        <v>100</v>
      </c>
      <c r="D309" s="2" t="s">
        <v>15</v>
      </c>
      <c r="E309" s="2">
        <f>2857/20</f>
        <v>142.85</v>
      </c>
      <c r="F309" s="2">
        <f>1756/20</f>
        <v>87.8</v>
      </c>
      <c r="G309" s="2">
        <f>1898/20</f>
        <v>94.9</v>
      </c>
      <c r="H309" s="2">
        <f>0.221*0.85*1.75/20</f>
        <v>1.6436874999999997E-2</v>
      </c>
    </row>
    <row r="310" spans="1:11">
      <c r="A310" s="3">
        <v>45883</v>
      </c>
      <c r="B310" s="4">
        <v>0.54166666666666663</v>
      </c>
      <c r="C310" s="2">
        <v>266.66666670000001</v>
      </c>
    </row>
    <row r="311" spans="1:11">
      <c r="A311" s="3">
        <v>45883</v>
      </c>
      <c r="B311" s="4">
        <v>0.66666666666666663</v>
      </c>
      <c r="C311" s="2">
        <v>266.66666670000001</v>
      </c>
    </row>
    <row r="312" spans="1:11">
      <c r="A312" s="3">
        <v>45883</v>
      </c>
      <c r="B312" s="4">
        <v>0.68263888888888891</v>
      </c>
      <c r="C312" s="2">
        <v>100</v>
      </c>
      <c r="I312" s="2">
        <f>(5.5+2.7+1.35+0.2+0.15)*1000/10/10</f>
        <v>98.999999999999972</v>
      </c>
    </row>
    <row r="313" spans="1:11">
      <c r="A313" s="3">
        <v>45884</v>
      </c>
      <c r="B313" s="4">
        <v>0.27777777777777779</v>
      </c>
      <c r="C313" s="2">
        <v>266.66666670000001</v>
      </c>
    </row>
    <row r="314" spans="1:11">
      <c r="A314" s="3">
        <v>45884</v>
      </c>
      <c r="B314" s="4">
        <v>0.41666666666666669</v>
      </c>
      <c r="C314" s="2">
        <v>266.66666670000001</v>
      </c>
    </row>
    <row r="315" spans="1:11">
      <c r="A315" s="3">
        <v>45884</v>
      </c>
      <c r="B315" s="4">
        <v>0.54166666666666663</v>
      </c>
      <c r="C315" s="2">
        <v>266.66666670000001</v>
      </c>
    </row>
    <row r="316" spans="1:11">
      <c r="A316" s="3">
        <v>45884</v>
      </c>
      <c r="B316" s="4">
        <v>0.66666666666666663</v>
      </c>
      <c r="C316" s="2">
        <v>266.66666670000001</v>
      </c>
    </row>
    <row r="317" spans="1:11">
      <c r="A317" s="3">
        <v>45885</v>
      </c>
      <c r="B317" s="4">
        <v>0.27777777777777779</v>
      </c>
      <c r="C317" s="2">
        <v>266.66666670000001</v>
      </c>
    </row>
    <row r="318" spans="1:11">
      <c r="A318" s="3">
        <v>45885</v>
      </c>
      <c r="B318" s="4">
        <v>0.41666666666666669</v>
      </c>
      <c r="C318" s="2">
        <v>266.66666670000001</v>
      </c>
    </row>
    <row r="319" spans="1:11">
      <c r="A319" s="3">
        <v>45885</v>
      </c>
      <c r="B319" s="4">
        <v>0.54166666666666663</v>
      </c>
      <c r="C319" s="2">
        <v>266.66666670000001</v>
      </c>
    </row>
    <row r="320" spans="1:11">
      <c r="A320" s="3">
        <v>45885</v>
      </c>
      <c r="B320" s="4">
        <v>0.66666666666666663</v>
      </c>
      <c r="C320" s="2">
        <v>266.66666670000001</v>
      </c>
    </row>
    <row r="321" spans="1:11">
      <c r="A321" s="3">
        <v>45886</v>
      </c>
      <c r="B321" s="4">
        <v>0.27777777777777779</v>
      </c>
      <c r="C321" s="2">
        <v>266.66666670000001</v>
      </c>
    </row>
    <row r="322" spans="1:11">
      <c r="A322" s="3">
        <v>45886</v>
      </c>
      <c r="B322" s="4">
        <v>0.35416666666666669</v>
      </c>
      <c r="C322" s="2">
        <v>100</v>
      </c>
      <c r="D322" s="2" t="s">
        <v>15</v>
      </c>
      <c r="E322" s="2">
        <f>2857/20</f>
        <v>142.85</v>
      </c>
      <c r="F322" s="2">
        <f>1756/20</f>
        <v>87.8</v>
      </c>
      <c r="G322" s="2">
        <f>1898/20</f>
        <v>94.9</v>
      </c>
      <c r="H322" s="2">
        <f>0.221*0.85*1.75/20</f>
        <v>1.6436874999999997E-2</v>
      </c>
    </row>
    <row r="323" spans="1:11">
      <c r="A323" s="3">
        <v>45886</v>
      </c>
      <c r="B323" s="4">
        <v>0.41666666666666669</v>
      </c>
      <c r="C323" s="2">
        <v>266.66666670000001</v>
      </c>
    </row>
    <row r="324" spans="1:11">
      <c r="A324" s="3">
        <v>45886</v>
      </c>
      <c r="B324" s="4">
        <v>0.4375</v>
      </c>
      <c r="C324" s="2">
        <v>100</v>
      </c>
      <c r="J324" s="2">
        <v>15</v>
      </c>
    </row>
    <row r="325" spans="1:11">
      <c r="A325" s="3">
        <v>45886</v>
      </c>
      <c r="B325" s="4">
        <v>0.54166666666666663</v>
      </c>
      <c r="C325" s="2">
        <v>266.66666670000001</v>
      </c>
    </row>
    <row r="326" spans="1:11">
      <c r="A326" s="3">
        <v>45886</v>
      </c>
      <c r="B326" s="4">
        <v>0.66666666666666663</v>
      </c>
      <c r="C326" s="2">
        <v>266.66666670000001</v>
      </c>
    </row>
    <row r="327" spans="1:11">
      <c r="A327" s="3">
        <v>45887</v>
      </c>
      <c r="B327" s="4">
        <v>0.27777777777777779</v>
      </c>
      <c r="C327" s="2">
        <v>266.66666670000001</v>
      </c>
      <c r="K327" s="5"/>
    </row>
    <row r="328" spans="1:11">
      <c r="A328" s="3">
        <v>45887</v>
      </c>
      <c r="B328" s="4">
        <v>0.35416666666666669</v>
      </c>
      <c r="C328" s="2">
        <v>100</v>
      </c>
      <c r="D328" s="2" t="s">
        <v>15</v>
      </c>
      <c r="E328" s="2">
        <f>2857/20</f>
        <v>142.85</v>
      </c>
      <c r="F328" s="2">
        <f>1756/20</f>
        <v>87.8</v>
      </c>
      <c r="G328" s="2">
        <f>1898/20</f>
        <v>94.9</v>
      </c>
      <c r="H328" s="2">
        <f>0.221*0.85*1.75/20</f>
        <v>1.6436874999999997E-2</v>
      </c>
    </row>
    <row r="329" spans="1:11">
      <c r="A329" s="3">
        <v>45887</v>
      </c>
      <c r="B329" s="4">
        <v>0.41666666666666669</v>
      </c>
      <c r="C329" s="2">
        <v>266.66666670000001</v>
      </c>
    </row>
    <row r="330" spans="1:11">
      <c r="A330" s="3">
        <v>45887</v>
      </c>
      <c r="B330" s="4">
        <v>0.54166666666666663</v>
      </c>
      <c r="C330" s="2">
        <v>266.66666670000001</v>
      </c>
      <c r="K330" s="5" t="s">
        <v>19</v>
      </c>
    </row>
    <row r="331" spans="1:11">
      <c r="A331" s="3">
        <v>45887</v>
      </c>
      <c r="B331" s="4">
        <v>0.66666666666666663</v>
      </c>
      <c r="C331" s="2">
        <v>600</v>
      </c>
    </row>
    <row r="332" spans="1:11">
      <c r="A332" s="3">
        <v>45888</v>
      </c>
      <c r="B332" s="4">
        <v>0.27777777777777779</v>
      </c>
      <c r="C332" s="2">
        <v>600</v>
      </c>
    </row>
    <row r="333" spans="1:11">
      <c r="A333" s="3">
        <v>45888</v>
      </c>
      <c r="B333" s="4">
        <v>0.35416666666666669</v>
      </c>
      <c r="C333" s="2">
        <v>100</v>
      </c>
      <c r="D333" s="2" t="s">
        <v>15</v>
      </c>
      <c r="E333" s="2">
        <f>2857/20</f>
        <v>142.85</v>
      </c>
      <c r="F333" s="2">
        <f>1756/20</f>
        <v>87.8</v>
      </c>
      <c r="G333" s="2">
        <f>1898/20</f>
        <v>94.9</v>
      </c>
      <c r="H333" s="2">
        <f>0.221*0.85*1.75/20</f>
        <v>1.6436874999999997E-2</v>
      </c>
    </row>
    <row r="334" spans="1:11">
      <c r="A334" s="3">
        <v>45888</v>
      </c>
      <c r="B334" s="4">
        <v>0.41666666666666669</v>
      </c>
      <c r="C334" s="2">
        <v>600</v>
      </c>
    </row>
    <row r="335" spans="1:11">
      <c r="A335" s="3">
        <v>45888</v>
      </c>
      <c r="B335" s="4">
        <v>0.54166666666666663</v>
      </c>
      <c r="C335" s="2">
        <v>600</v>
      </c>
    </row>
    <row r="336" spans="1:11">
      <c r="A336" s="3">
        <v>45888</v>
      </c>
      <c r="B336" s="4">
        <v>0.66666666666666663</v>
      </c>
      <c r="C336" s="2">
        <v>600</v>
      </c>
    </row>
    <row r="337" spans="1:11">
      <c r="A337" s="3">
        <v>45889</v>
      </c>
      <c r="B337" s="4">
        <v>0.27777777777777779</v>
      </c>
      <c r="C337" s="2">
        <v>600</v>
      </c>
    </row>
    <row r="338" spans="1:11">
      <c r="A338" s="3">
        <v>45889</v>
      </c>
      <c r="B338" s="4">
        <v>0.41666666666666669</v>
      </c>
      <c r="C338" s="2">
        <v>600</v>
      </c>
    </row>
    <row r="339" spans="1:11">
      <c r="A339" s="3">
        <v>45889</v>
      </c>
      <c r="B339" s="4">
        <v>0.5</v>
      </c>
      <c r="C339" s="2">
        <v>100</v>
      </c>
      <c r="D339" s="2" t="s">
        <v>15</v>
      </c>
      <c r="E339" s="2">
        <f>2857/20</f>
        <v>142.85</v>
      </c>
      <c r="F339" s="2">
        <f>1756/20</f>
        <v>87.8</v>
      </c>
      <c r="G339" s="2">
        <f>1898/20</f>
        <v>94.9</v>
      </c>
      <c r="H339" s="2">
        <f>0.221*0.85*1.75/20</f>
        <v>1.6436874999999997E-2</v>
      </c>
    </row>
    <row r="340" spans="1:11">
      <c r="A340" s="3">
        <v>45889</v>
      </c>
      <c r="B340" s="4">
        <v>0.54166666666666663</v>
      </c>
      <c r="C340" s="2">
        <v>600</v>
      </c>
    </row>
    <row r="341" spans="1:11">
      <c r="A341" s="3">
        <v>45889</v>
      </c>
      <c r="B341" s="4">
        <v>0.66666666666666663</v>
      </c>
      <c r="C341" s="2">
        <v>600</v>
      </c>
    </row>
    <row r="342" spans="1:11">
      <c r="A342" s="3">
        <v>45889</v>
      </c>
      <c r="B342" s="4">
        <v>0.74305555555555547</v>
      </c>
      <c r="C342" s="2">
        <v>100</v>
      </c>
      <c r="D342" s="2" t="s">
        <v>15</v>
      </c>
      <c r="E342" s="2">
        <f>2857/20*2</f>
        <v>285.7</v>
      </c>
      <c r="F342" s="2">
        <f>1756/20*2</f>
        <v>175.6</v>
      </c>
      <c r="G342" s="2">
        <f>1898/20*2</f>
        <v>189.8</v>
      </c>
      <c r="H342" s="2">
        <f>0.221*0.85*1.75/20*2</f>
        <v>3.2873749999999993E-2</v>
      </c>
    </row>
    <row r="343" spans="1:11">
      <c r="A343" s="3">
        <v>45890</v>
      </c>
      <c r="B343" s="4">
        <v>0.27777777777777779</v>
      </c>
      <c r="C343" s="2">
        <v>600</v>
      </c>
    </row>
    <row r="344" spans="1:11">
      <c r="A344" s="3">
        <v>45890</v>
      </c>
      <c r="B344" s="4">
        <v>0.35416666666666669</v>
      </c>
      <c r="C344" s="2">
        <v>100</v>
      </c>
      <c r="D344" s="2" t="s">
        <v>15</v>
      </c>
      <c r="E344" s="2">
        <f>2857/20</f>
        <v>142.85</v>
      </c>
      <c r="F344" s="2">
        <f>1756/20</f>
        <v>87.8</v>
      </c>
      <c r="G344" s="2">
        <f>1898/20</f>
        <v>94.9</v>
      </c>
      <c r="H344" s="2">
        <f>0.221*0.85*1.75/20</f>
        <v>1.6436874999999997E-2</v>
      </c>
    </row>
    <row r="345" spans="1:11">
      <c r="A345" s="3">
        <v>45890</v>
      </c>
      <c r="B345" s="4">
        <v>0.41666666666666669</v>
      </c>
      <c r="C345" s="2">
        <v>600</v>
      </c>
    </row>
    <row r="346" spans="1:11">
      <c r="A346" s="3">
        <v>45890</v>
      </c>
      <c r="B346" s="4">
        <v>0.54166666666666663</v>
      </c>
      <c r="C346" s="2">
        <v>600</v>
      </c>
    </row>
    <row r="347" spans="1:11">
      <c r="A347" s="3">
        <v>45890</v>
      </c>
      <c r="B347" s="4">
        <v>0.54166666666666663</v>
      </c>
      <c r="C347" s="2">
        <v>100</v>
      </c>
      <c r="D347" s="2" t="s">
        <v>15</v>
      </c>
      <c r="E347" s="2">
        <f>2857/20*2</f>
        <v>285.7</v>
      </c>
      <c r="F347" s="2">
        <f>1756/20*2</f>
        <v>175.6</v>
      </c>
      <c r="G347" s="2">
        <f>1898/20*2</f>
        <v>189.8</v>
      </c>
      <c r="H347" s="2">
        <f>0.221*0.85*1.75/20*2</f>
        <v>3.2873749999999993E-2</v>
      </c>
      <c r="K347" s="2" t="s">
        <v>20</v>
      </c>
    </row>
    <row r="348" spans="1:11">
      <c r="A348" s="3">
        <v>45890</v>
      </c>
      <c r="B348" s="4">
        <v>0.66666666666666663</v>
      </c>
      <c r="C348" s="2">
        <v>666.66666669999995</v>
      </c>
    </row>
    <row r="349" spans="1:11">
      <c r="A349" s="3">
        <v>45891</v>
      </c>
      <c r="B349" s="4">
        <v>0.27777777777777779</v>
      </c>
      <c r="C349" s="2">
        <v>666.66666669999995</v>
      </c>
    </row>
    <row r="350" spans="1:11">
      <c r="A350" s="3">
        <v>45891</v>
      </c>
      <c r="B350" s="4">
        <v>0.41666666666666669</v>
      </c>
      <c r="C350" s="2">
        <v>666.66666669999995</v>
      </c>
    </row>
    <row r="351" spans="1:11">
      <c r="A351" s="3">
        <v>45891</v>
      </c>
      <c r="B351" s="4">
        <v>0.54166666666666663</v>
      </c>
      <c r="C351" s="2">
        <v>666.66666669999995</v>
      </c>
    </row>
    <row r="352" spans="1:11">
      <c r="A352" s="3">
        <v>45891</v>
      </c>
      <c r="B352" s="4">
        <v>0.66666666666666663</v>
      </c>
      <c r="C352" s="2">
        <v>666.66666669999995</v>
      </c>
    </row>
    <row r="353" spans="1:9">
      <c r="A353" s="3">
        <v>45892</v>
      </c>
      <c r="B353" s="4">
        <v>0.27777777777777779</v>
      </c>
      <c r="C353" s="2">
        <v>666.66666669999995</v>
      </c>
    </row>
    <row r="354" spans="1:9">
      <c r="A354" s="3">
        <v>45892</v>
      </c>
      <c r="B354" s="4">
        <v>0.41666666666666669</v>
      </c>
      <c r="C354" s="2">
        <v>666.66666669999995</v>
      </c>
    </row>
    <row r="355" spans="1:9">
      <c r="A355" s="3">
        <v>45892</v>
      </c>
      <c r="B355" s="4">
        <v>0.54166666666666663</v>
      </c>
      <c r="C355" s="2">
        <v>666.66666669999995</v>
      </c>
    </row>
    <row r="356" spans="1:9">
      <c r="A356" s="3">
        <v>45892</v>
      </c>
      <c r="B356" s="4">
        <v>0.66666666666666663</v>
      </c>
      <c r="C356" s="2">
        <v>666.66666669999995</v>
      </c>
    </row>
    <row r="357" spans="1:9">
      <c r="A357" s="3">
        <v>45893</v>
      </c>
      <c r="B357" s="4">
        <v>0.27777777777777779</v>
      </c>
      <c r="C357" s="2">
        <v>666.66666669999995</v>
      </c>
    </row>
    <row r="358" spans="1:9">
      <c r="A358" s="3">
        <v>45893</v>
      </c>
      <c r="B358" s="4">
        <v>0.41666666666666669</v>
      </c>
      <c r="C358" s="2">
        <v>666.66666669999995</v>
      </c>
    </row>
    <row r="359" spans="1:9">
      <c r="A359" s="3">
        <v>45893</v>
      </c>
      <c r="B359" s="4">
        <v>0.54166666666666663</v>
      </c>
      <c r="C359" s="2">
        <v>666.66666669999995</v>
      </c>
    </row>
    <row r="360" spans="1:9">
      <c r="A360" s="3">
        <v>45893</v>
      </c>
      <c r="B360" s="4">
        <v>0.66666666666666663</v>
      </c>
      <c r="C360" s="2">
        <v>666.66666669999995</v>
      </c>
    </row>
    <row r="361" spans="1:9">
      <c r="A361" s="3">
        <v>45894</v>
      </c>
      <c r="B361" s="4">
        <v>0.27777777777777779</v>
      </c>
      <c r="C361" s="2">
        <v>666.66666669999995</v>
      </c>
    </row>
    <row r="362" spans="1:9">
      <c r="A362" s="3">
        <v>45894</v>
      </c>
      <c r="B362" s="4">
        <v>0.5</v>
      </c>
      <c r="C362" s="2">
        <v>100</v>
      </c>
      <c r="D362" s="2" t="s">
        <v>15</v>
      </c>
      <c r="E362" s="2">
        <f>2857/20</f>
        <v>142.85</v>
      </c>
      <c r="F362" s="2">
        <f>1756/20</f>
        <v>87.8</v>
      </c>
      <c r="G362" s="2">
        <f>1898/20</f>
        <v>94.9</v>
      </c>
      <c r="H362" s="2">
        <f>0.221*0.85*1.75/20</f>
        <v>1.6436874999999997E-2</v>
      </c>
    </row>
    <row r="363" spans="1:9">
      <c r="A363" s="3">
        <v>45894</v>
      </c>
      <c r="B363" s="4">
        <v>0.41666666666666669</v>
      </c>
      <c r="C363" s="2">
        <v>666.66666669999995</v>
      </c>
    </row>
    <row r="364" spans="1:9">
      <c r="A364" s="3">
        <v>45894</v>
      </c>
      <c r="B364" s="4">
        <v>0.5</v>
      </c>
      <c r="C364" s="2">
        <v>100</v>
      </c>
      <c r="I364" s="2">
        <f>(5.5+2.7+1.35+0.2+0.15)*1000/10/10</f>
        <v>98.999999999999972</v>
      </c>
    </row>
    <row r="365" spans="1:9">
      <c r="A365" s="3">
        <v>45894</v>
      </c>
      <c r="B365" s="4">
        <v>0.54166666666666663</v>
      </c>
      <c r="C365" s="2">
        <v>666.66666669999995</v>
      </c>
    </row>
    <row r="366" spans="1:9">
      <c r="A366" s="3">
        <v>45894</v>
      </c>
      <c r="B366" s="4">
        <v>0.66666666666666663</v>
      </c>
      <c r="C366" s="2">
        <v>666.66666669999995</v>
      </c>
    </row>
    <row r="367" spans="1:9">
      <c r="A367" s="3">
        <v>45895</v>
      </c>
      <c r="B367" s="4">
        <v>0.27777777777777779</v>
      </c>
      <c r="C367" s="2">
        <v>666.66666669999995</v>
      </c>
    </row>
    <row r="368" spans="1:9">
      <c r="A368" s="3">
        <v>45895</v>
      </c>
      <c r="B368" s="4">
        <v>0.35416666666666669</v>
      </c>
      <c r="C368" s="2">
        <v>100</v>
      </c>
      <c r="D368" s="2" t="s">
        <v>15</v>
      </c>
      <c r="E368" s="2">
        <f>2857/20</f>
        <v>142.85</v>
      </c>
      <c r="F368" s="2">
        <f>1756/20</f>
        <v>87.8</v>
      </c>
      <c r="G368" s="2">
        <f>1898/20</f>
        <v>94.9</v>
      </c>
      <c r="H368" s="2">
        <f>0.221*0.85*1.75/20</f>
        <v>1.6436874999999997E-2</v>
      </c>
    </row>
    <row r="369" spans="1:10">
      <c r="A369" s="3">
        <v>45895</v>
      </c>
      <c r="B369" s="4">
        <v>0.41666666666666669</v>
      </c>
      <c r="C369" s="2">
        <v>666.66666669999995</v>
      </c>
    </row>
    <row r="370" spans="1:10">
      <c r="A370" s="3">
        <v>45895</v>
      </c>
      <c r="B370" s="4">
        <v>0.54166666666666663</v>
      </c>
      <c r="C370" s="2">
        <v>666.66666669999995</v>
      </c>
    </row>
    <row r="371" spans="1:10">
      <c r="A371" s="3">
        <v>45895</v>
      </c>
      <c r="B371" s="4">
        <v>0.66666666666666663</v>
      </c>
      <c r="C371" s="2">
        <v>666.66666669999995</v>
      </c>
    </row>
    <row r="372" spans="1:10">
      <c r="A372" s="6">
        <v>45896</v>
      </c>
      <c r="B372" s="4">
        <v>0.27777777777777779</v>
      </c>
      <c r="C372" s="2">
        <v>666.66666669999995</v>
      </c>
    </row>
    <row r="373" spans="1:10">
      <c r="A373" s="6">
        <v>45896</v>
      </c>
      <c r="B373" s="4">
        <v>0.35416666666666669</v>
      </c>
      <c r="C373" s="2">
        <v>100</v>
      </c>
      <c r="D373" s="2" t="s">
        <v>15</v>
      </c>
      <c r="E373" s="2">
        <f>2857/20</f>
        <v>142.85</v>
      </c>
      <c r="F373" s="2">
        <f>1756/20</f>
        <v>87.8</v>
      </c>
      <c r="G373" s="2">
        <f>1898/20</f>
        <v>94.9</v>
      </c>
      <c r="H373" s="2">
        <f>0.221*0.85*1.75/20</f>
        <v>1.6436874999999997E-2</v>
      </c>
    </row>
    <row r="374" spans="1:10">
      <c r="A374" s="6">
        <v>45896</v>
      </c>
      <c r="B374" s="4">
        <v>0.41666666666666669</v>
      </c>
      <c r="C374" s="2">
        <v>666.66666669999995</v>
      </c>
    </row>
    <row r="375" spans="1:10">
      <c r="A375" s="6">
        <v>45896</v>
      </c>
      <c r="B375" s="4">
        <v>0.4375</v>
      </c>
      <c r="C375" s="2">
        <v>100</v>
      </c>
      <c r="J375" s="2">
        <v>15</v>
      </c>
    </row>
    <row r="376" spans="1:10">
      <c r="A376" s="6">
        <v>45896</v>
      </c>
      <c r="B376" s="4">
        <v>0.54166666666666663</v>
      </c>
      <c r="C376" s="2">
        <v>666.66666669999995</v>
      </c>
    </row>
    <row r="377" spans="1:10">
      <c r="A377" s="6">
        <v>45896</v>
      </c>
      <c r="B377" s="4">
        <v>0.66666666666666663</v>
      </c>
      <c r="C377" s="2">
        <v>666.66666669999995</v>
      </c>
    </row>
    <row r="378" spans="1:10">
      <c r="A378" s="7">
        <v>45897</v>
      </c>
      <c r="B378" s="4">
        <v>0.27777777777777779</v>
      </c>
      <c r="C378" s="2">
        <v>666.66666669999995</v>
      </c>
    </row>
    <row r="379" spans="1:10">
      <c r="A379" s="7">
        <v>45897</v>
      </c>
      <c r="B379" s="4">
        <v>0.35416666666666669</v>
      </c>
      <c r="C379" s="2">
        <v>100</v>
      </c>
      <c r="D379" s="2" t="s">
        <v>15</v>
      </c>
      <c r="E379" s="2">
        <f>2857/20</f>
        <v>142.85</v>
      </c>
      <c r="F379" s="2">
        <f>1756/20</f>
        <v>87.8</v>
      </c>
      <c r="G379" s="2">
        <f>1898/20</f>
        <v>94.9</v>
      </c>
      <c r="H379" s="2">
        <f>0.221*0.85*1.75/20</f>
        <v>1.6436874999999997E-2</v>
      </c>
    </row>
    <row r="380" spans="1:10">
      <c r="A380" s="7">
        <v>45897</v>
      </c>
      <c r="B380" s="4">
        <v>0.41666666666666669</v>
      </c>
      <c r="C380" s="2">
        <v>666.66666669999995</v>
      </c>
    </row>
    <row r="381" spans="1:10">
      <c r="A381" s="7">
        <v>45897</v>
      </c>
      <c r="B381" s="4">
        <v>0.54166666666666663</v>
      </c>
      <c r="C381" s="2">
        <v>666.66666669999995</v>
      </c>
    </row>
    <row r="382" spans="1:10">
      <c r="A382" s="7">
        <v>45897</v>
      </c>
      <c r="B382" s="4">
        <v>0.66666666666666663</v>
      </c>
      <c r="C382" s="2">
        <v>666.66666669999995</v>
      </c>
    </row>
    <row r="383" spans="1:10">
      <c r="A383" s="7">
        <v>45898</v>
      </c>
      <c r="B383" s="4">
        <v>0.27777777777777779</v>
      </c>
      <c r="C383" s="2">
        <v>666.66666669999995</v>
      </c>
    </row>
    <row r="384" spans="1:10">
      <c r="A384" s="7">
        <v>45898</v>
      </c>
      <c r="B384" s="4">
        <v>0.41666666666666669</v>
      </c>
      <c r="C384" s="2">
        <v>666.66666669999995</v>
      </c>
    </row>
    <row r="385" spans="1:8">
      <c r="A385" s="7">
        <v>45898</v>
      </c>
      <c r="B385" s="4">
        <v>0.54166666666666663</v>
      </c>
      <c r="C385" s="2">
        <v>666.66666669999995</v>
      </c>
    </row>
    <row r="386" spans="1:8">
      <c r="A386" s="7">
        <v>45898</v>
      </c>
      <c r="B386" s="4">
        <v>0.66666666666666663</v>
      </c>
      <c r="C386" s="2">
        <v>666.66666669999995</v>
      </c>
    </row>
    <row r="387" spans="1:8">
      <c r="A387" s="7">
        <v>45899</v>
      </c>
      <c r="B387" s="4">
        <v>0.27777777777777779</v>
      </c>
      <c r="C387" s="2">
        <v>666.66666669999995</v>
      </c>
    </row>
    <row r="388" spans="1:8">
      <c r="A388" s="7">
        <v>45899</v>
      </c>
      <c r="B388" s="4">
        <v>0.41666666666666669</v>
      </c>
      <c r="C388" s="2">
        <v>666.66666669999995</v>
      </c>
    </row>
    <row r="389" spans="1:8">
      <c r="A389" s="7">
        <v>45899</v>
      </c>
      <c r="B389" s="4">
        <v>0.54166666666666663</v>
      </c>
      <c r="C389" s="2">
        <v>666.66666669999995</v>
      </c>
    </row>
    <row r="390" spans="1:8">
      <c r="A390" s="7">
        <v>45899</v>
      </c>
      <c r="B390" s="4">
        <v>0.66666666666666663</v>
      </c>
      <c r="C390" s="2">
        <v>666.66666669999995</v>
      </c>
    </row>
    <row r="391" spans="1:8">
      <c r="A391" s="7">
        <v>45900</v>
      </c>
      <c r="B391" s="4">
        <v>0.27777777777777779</v>
      </c>
      <c r="C391" s="2">
        <v>666.66666669999995</v>
      </c>
    </row>
    <row r="392" spans="1:8">
      <c r="A392" s="7">
        <v>45900</v>
      </c>
      <c r="B392" s="4">
        <v>0.35416666666666669</v>
      </c>
      <c r="C392" s="2">
        <v>100</v>
      </c>
      <c r="D392" s="2" t="s">
        <v>15</v>
      </c>
      <c r="E392" s="2">
        <f>2857/20</f>
        <v>142.85</v>
      </c>
      <c r="F392" s="2">
        <f>1756/20</f>
        <v>87.8</v>
      </c>
      <c r="G392" s="2">
        <f>1898/20</f>
        <v>94.9</v>
      </c>
      <c r="H392" s="2">
        <f>0.221*0.85*1.75/20</f>
        <v>1.6436874999999997E-2</v>
      </c>
    </row>
    <row r="393" spans="1:8">
      <c r="A393" s="7">
        <v>45900</v>
      </c>
      <c r="B393" s="4">
        <v>0.41666666666666669</v>
      </c>
      <c r="C393" s="2">
        <v>666.66666669999995</v>
      </c>
    </row>
    <row r="394" spans="1:8">
      <c r="A394" s="7">
        <v>45900</v>
      </c>
      <c r="B394" s="4">
        <v>0.54166666666666663</v>
      </c>
      <c r="C394" s="2">
        <v>666.66666669999995</v>
      </c>
    </row>
    <row r="395" spans="1:8">
      <c r="A395" s="7">
        <v>45900</v>
      </c>
      <c r="B395" s="4">
        <v>0.66666666666666663</v>
      </c>
      <c r="C395" s="2">
        <v>666.66666669999995</v>
      </c>
    </row>
    <row r="396" spans="1:8">
      <c r="A396" s="7">
        <v>45901</v>
      </c>
      <c r="B396" s="4">
        <v>0.27777777777777779</v>
      </c>
      <c r="C396" s="2">
        <v>666.66666669999995</v>
      </c>
    </row>
    <row r="397" spans="1:8">
      <c r="A397" s="7">
        <v>45901</v>
      </c>
      <c r="B397" s="4">
        <v>0.35416666666666669</v>
      </c>
      <c r="C397" s="2">
        <v>100</v>
      </c>
      <c r="D397" s="2" t="s">
        <v>15</v>
      </c>
      <c r="E397" s="2">
        <f>2857/20</f>
        <v>142.85</v>
      </c>
      <c r="F397" s="2">
        <f>1756/20</f>
        <v>87.8</v>
      </c>
      <c r="G397" s="2">
        <f>1898/20</f>
        <v>94.9</v>
      </c>
      <c r="H397" s="2">
        <f>0.221*0.85*1.75/20</f>
        <v>1.6436874999999997E-2</v>
      </c>
    </row>
    <row r="398" spans="1:8">
      <c r="A398" s="7">
        <v>45901</v>
      </c>
      <c r="B398" s="4">
        <v>0.41666666666666669</v>
      </c>
      <c r="C398" s="2">
        <v>666.66666669999995</v>
      </c>
    </row>
    <row r="399" spans="1:8">
      <c r="A399" s="7">
        <v>45901</v>
      </c>
      <c r="B399" s="4">
        <v>0.54166666666666663</v>
      </c>
      <c r="C399" s="2">
        <v>666.66666669999995</v>
      </c>
    </row>
    <row r="400" spans="1:8">
      <c r="A400" s="7">
        <v>45901</v>
      </c>
      <c r="B400" s="4">
        <v>0.66666666666666663</v>
      </c>
      <c r="C400" s="2">
        <v>666.66666669999995</v>
      </c>
    </row>
    <row r="401" spans="1:10">
      <c r="A401" s="3">
        <v>45902</v>
      </c>
      <c r="B401" s="4">
        <v>0.27777777777777779</v>
      </c>
      <c r="C401" s="2">
        <v>666.66666669999995</v>
      </c>
    </row>
    <row r="402" spans="1:10">
      <c r="A402" s="3">
        <v>45902</v>
      </c>
      <c r="B402" s="4">
        <v>0.35416666666666669</v>
      </c>
      <c r="C402" s="2">
        <v>100</v>
      </c>
      <c r="D402" s="2" t="s">
        <v>15</v>
      </c>
      <c r="E402" s="2">
        <f>2857/20</f>
        <v>142.85</v>
      </c>
      <c r="F402" s="2">
        <f>1756/20</f>
        <v>87.8</v>
      </c>
      <c r="G402" s="2">
        <f>1898/20</f>
        <v>94.9</v>
      </c>
      <c r="H402" s="2">
        <f>0.221*0.85*1.75/20</f>
        <v>1.6436874999999997E-2</v>
      </c>
    </row>
    <row r="403" spans="1:10">
      <c r="A403" s="3">
        <v>45902</v>
      </c>
      <c r="B403" s="4">
        <v>0.41666666666666669</v>
      </c>
      <c r="C403" s="2">
        <v>666.66666669999995</v>
      </c>
    </row>
    <row r="404" spans="1:10">
      <c r="A404" s="3">
        <v>45902</v>
      </c>
      <c r="B404" s="4">
        <v>0.54166666666666663</v>
      </c>
      <c r="C404" s="2">
        <v>666.66666669999995</v>
      </c>
    </row>
    <row r="405" spans="1:10">
      <c r="A405" s="3">
        <v>45902</v>
      </c>
      <c r="B405" s="4">
        <v>0.66666666666666663</v>
      </c>
      <c r="C405" s="2">
        <v>666.66666669999995</v>
      </c>
    </row>
    <row r="406" spans="1:10">
      <c r="A406" s="3">
        <v>45903</v>
      </c>
      <c r="B406" s="4">
        <v>0.27777777777777779</v>
      </c>
      <c r="C406" s="2">
        <v>666.66666669999995</v>
      </c>
    </row>
    <row r="407" spans="1:10">
      <c r="A407" s="3">
        <v>45903</v>
      </c>
      <c r="B407" s="4">
        <v>0.35416666666666669</v>
      </c>
      <c r="C407" s="2">
        <v>100</v>
      </c>
      <c r="D407" s="2" t="s">
        <v>15</v>
      </c>
      <c r="E407" s="2">
        <f>2857/20</f>
        <v>142.85</v>
      </c>
      <c r="F407" s="2">
        <f>1756/20</f>
        <v>87.8</v>
      </c>
      <c r="G407" s="2">
        <f>1898/20</f>
        <v>94.9</v>
      </c>
      <c r="H407" s="2">
        <f>0.221*0.85*1.75/20</f>
        <v>1.6436874999999997E-2</v>
      </c>
    </row>
    <row r="408" spans="1:10">
      <c r="A408" s="3">
        <v>45903</v>
      </c>
      <c r="B408" s="4">
        <v>0.41666666666666669</v>
      </c>
      <c r="C408" s="2">
        <v>666.66666669999995</v>
      </c>
    </row>
    <row r="409" spans="1:10">
      <c r="A409" s="3">
        <v>45903</v>
      </c>
      <c r="B409" s="4">
        <v>0.54166666666666663</v>
      </c>
      <c r="C409" s="2">
        <v>666.66666669999995</v>
      </c>
    </row>
    <row r="410" spans="1:10">
      <c r="A410" s="3">
        <v>45903</v>
      </c>
      <c r="B410" s="4">
        <v>0.66666666666666663</v>
      </c>
      <c r="C410" s="2">
        <v>666.66666669999995</v>
      </c>
    </row>
    <row r="411" spans="1:10">
      <c r="A411" s="3">
        <v>45904</v>
      </c>
      <c r="B411" s="4">
        <v>0.27777777777777779</v>
      </c>
      <c r="C411" s="2">
        <v>666.66666669999995</v>
      </c>
    </row>
    <row r="412" spans="1:10">
      <c r="A412" s="3">
        <v>45904</v>
      </c>
      <c r="B412" s="4">
        <v>0.35416666666666669</v>
      </c>
      <c r="C412" s="2">
        <v>100</v>
      </c>
      <c r="D412" s="2" t="s">
        <v>15</v>
      </c>
      <c r="E412" s="2">
        <f>2857/20</f>
        <v>142.85</v>
      </c>
      <c r="F412" s="2">
        <f>1756/20</f>
        <v>87.8</v>
      </c>
      <c r="G412" s="2">
        <f>1898/20</f>
        <v>94.9</v>
      </c>
      <c r="H412" s="2">
        <f>0.221*0.85*1.75/20</f>
        <v>1.6436874999999997E-2</v>
      </c>
    </row>
    <row r="413" spans="1:10">
      <c r="A413" s="3">
        <v>45904</v>
      </c>
      <c r="B413" s="4">
        <v>0.41666666666666669</v>
      </c>
      <c r="C413" s="2">
        <v>666.66666669999995</v>
      </c>
    </row>
    <row r="414" spans="1:10">
      <c r="A414" s="3">
        <v>45904</v>
      </c>
      <c r="B414" s="4">
        <v>0.4375</v>
      </c>
      <c r="C414" s="2">
        <v>100</v>
      </c>
      <c r="J414" s="2">
        <v>15</v>
      </c>
    </row>
    <row r="415" spans="1:10">
      <c r="A415" s="3">
        <v>45904</v>
      </c>
      <c r="B415" s="4">
        <v>0.54166666666666663</v>
      </c>
      <c r="C415" s="2">
        <v>666.66666669999995</v>
      </c>
    </row>
    <row r="416" spans="1:10">
      <c r="A416" s="3">
        <v>45904</v>
      </c>
      <c r="B416" s="4">
        <v>0.66666666666666663</v>
      </c>
      <c r="C416" s="2">
        <v>666.66666669999995</v>
      </c>
    </row>
    <row r="417" spans="1:8">
      <c r="A417" s="3">
        <v>45905</v>
      </c>
      <c r="B417" s="4">
        <v>0.27777777777777779</v>
      </c>
      <c r="C417" s="2">
        <v>666.66666669999995</v>
      </c>
    </row>
    <row r="418" spans="1:8">
      <c r="A418" s="3">
        <v>45905</v>
      </c>
      <c r="B418" s="4">
        <v>0.41666666666666669</v>
      </c>
      <c r="C418" s="2">
        <v>666.66666669999995</v>
      </c>
    </row>
    <row r="419" spans="1:8">
      <c r="A419" s="3">
        <v>45905</v>
      </c>
      <c r="B419" s="4">
        <v>0.54166666666666663</v>
      </c>
      <c r="C419" s="2">
        <v>666.66666669999995</v>
      </c>
    </row>
    <row r="420" spans="1:8">
      <c r="A420" s="3">
        <v>45905</v>
      </c>
      <c r="B420" s="4">
        <v>0.66666666666666663</v>
      </c>
      <c r="C420" s="2">
        <v>666.66666669999995</v>
      </c>
    </row>
    <row r="421" spans="1:8">
      <c r="A421" s="3">
        <v>45906</v>
      </c>
      <c r="B421" s="4">
        <v>0.27777777777777779</v>
      </c>
      <c r="C421" s="2">
        <v>666.66666669999995</v>
      </c>
    </row>
    <row r="422" spans="1:8">
      <c r="A422" s="3">
        <v>45906</v>
      </c>
      <c r="B422" s="4">
        <v>0.41666666666666669</v>
      </c>
      <c r="C422" s="2">
        <v>666.66666669999995</v>
      </c>
    </row>
    <row r="423" spans="1:8">
      <c r="A423" s="3">
        <v>45906</v>
      </c>
      <c r="B423" s="4">
        <v>0.54166666666666663</v>
      </c>
      <c r="C423" s="2">
        <v>666.66666669999995</v>
      </c>
    </row>
    <row r="424" spans="1:8">
      <c r="A424" s="3">
        <v>45906</v>
      </c>
      <c r="B424" s="4">
        <v>0.66666666666666663</v>
      </c>
      <c r="C424" s="2">
        <v>666.66666669999995</v>
      </c>
    </row>
    <row r="425" spans="1:8">
      <c r="A425" s="3">
        <v>45907</v>
      </c>
      <c r="B425" s="4">
        <v>0.27777777777777779</v>
      </c>
      <c r="C425" s="2">
        <v>666.66666669999995</v>
      </c>
    </row>
    <row r="426" spans="1:8">
      <c r="A426" s="3">
        <v>45907</v>
      </c>
      <c r="B426" s="4">
        <v>0.35416666666666669</v>
      </c>
      <c r="C426" s="2">
        <v>100</v>
      </c>
      <c r="D426" s="2" t="s">
        <v>15</v>
      </c>
      <c r="E426" s="2">
        <f>2857/20</f>
        <v>142.85</v>
      </c>
      <c r="F426" s="2">
        <f>1756/20</f>
        <v>87.8</v>
      </c>
      <c r="G426" s="2">
        <f>1898/20</f>
        <v>94.9</v>
      </c>
      <c r="H426" s="2">
        <f>0.221*0.85*1.75/20</f>
        <v>1.6436874999999997E-2</v>
      </c>
    </row>
    <row r="427" spans="1:8">
      <c r="A427" s="3">
        <v>45907</v>
      </c>
      <c r="B427" s="4">
        <v>0.41666666666666669</v>
      </c>
      <c r="C427" s="2">
        <v>666.66666669999995</v>
      </c>
    </row>
    <row r="428" spans="1:8">
      <c r="A428" s="3">
        <v>45907</v>
      </c>
      <c r="B428" s="4">
        <v>0.54166666666666663</v>
      </c>
      <c r="C428" s="2">
        <v>666.66666669999995</v>
      </c>
    </row>
    <row r="429" spans="1:8">
      <c r="A429" s="3">
        <v>45907</v>
      </c>
      <c r="B429" s="4">
        <v>0.66666666666666663</v>
      </c>
      <c r="C429" s="2">
        <v>666.66666669999995</v>
      </c>
    </row>
    <row r="430" spans="1:8">
      <c r="A430" s="3">
        <v>45908</v>
      </c>
      <c r="B430" s="4">
        <v>0.27777777777777779</v>
      </c>
      <c r="C430" s="2">
        <v>666.66666669999995</v>
      </c>
    </row>
    <row r="431" spans="1:8">
      <c r="A431" s="3">
        <v>45908</v>
      </c>
      <c r="B431" s="4">
        <v>0.35416666666666669</v>
      </c>
      <c r="C431" s="2">
        <v>100</v>
      </c>
      <c r="D431" s="2" t="s">
        <v>15</v>
      </c>
      <c r="E431" s="2">
        <f>2857/20</f>
        <v>142.85</v>
      </c>
      <c r="F431" s="2">
        <f>1756/20</f>
        <v>87.8</v>
      </c>
      <c r="G431" s="2">
        <f>1898/20</f>
        <v>94.9</v>
      </c>
      <c r="H431" s="2">
        <f>0.221*0.85*1.75/20</f>
        <v>1.6436874999999997E-2</v>
      </c>
    </row>
    <row r="432" spans="1:8">
      <c r="A432" s="3">
        <v>45908</v>
      </c>
      <c r="B432" s="4">
        <v>0.41666666666666669</v>
      </c>
      <c r="C432" s="2">
        <v>666.66666669999995</v>
      </c>
    </row>
    <row r="433" spans="1:11">
      <c r="A433" s="3">
        <v>45908</v>
      </c>
      <c r="B433" s="4">
        <v>0.4375</v>
      </c>
      <c r="C433" s="2">
        <v>100</v>
      </c>
      <c r="I433" s="2">
        <f>(5.5+2.7+1.35+0.2+0.15)*1000/10/10</f>
        <v>98.999999999999972</v>
      </c>
    </row>
    <row r="434" spans="1:11">
      <c r="A434" s="3">
        <v>45908</v>
      </c>
      <c r="B434" s="4">
        <v>0.54166666666666663</v>
      </c>
      <c r="C434" s="2">
        <v>666.66666669999995</v>
      </c>
    </row>
    <row r="435" spans="1:11">
      <c r="A435" s="3">
        <v>45908</v>
      </c>
      <c r="B435" s="4">
        <v>0.66666666666666663</v>
      </c>
      <c r="C435" s="2">
        <v>666.66666669999995</v>
      </c>
    </row>
    <row r="436" spans="1:11">
      <c r="A436" s="3">
        <v>45909</v>
      </c>
      <c r="B436" s="4">
        <v>0.27777777777777779</v>
      </c>
      <c r="C436" s="2">
        <v>666.66666669999995</v>
      </c>
    </row>
    <row r="437" spans="1:11">
      <c r="A437" s="3">
        <v>45909</v>
      </c>
      <c r="B437" s="4">
        <v>0.35416666666666669</v>
      </c>
      <c r="C437" s="2">
        <v>100</v>
      </c>
      <c r="D437" s="2" t="s">
        <v>15</v>
      </c>
      <c r="E437" s="2">
        <f>2857/20</f>
        <v>142.85</v>
      </c>
      <c r="F437" s="2">
        <f>1756/20</f>
        <v>87.8</v>
      </c>
      <c r="G437" s="2">
        <f>1898/20</f>
        <v>94.9</v>
      </c>
      <c r="H437" s="2">
        <f>0.221*0.85*1.75/20</f>
        <v>1.6436874999999997E-2</v>
      </c>
    </row>
    <row r="438" spans="1:11">
      <c r="A438" s="3">
        <v>45909</v>
      </c>
      <c r="B438" s="4">
        <v>0.41666666666666669</v>
      </c>
      <c r="C438" s="2">
        <v>666.66666669999995</v>
      </c>
    </row>
    <row r="439" spans="1:11">
      <c r="A439" s="3">
        <v>45909</v>
      </c>
      <c r="B439" s="4">
        <v>0.54166666666666663</v>
      </c>
      <c r="C439" s="2">
        <v>666.66666669999995</v>
      </c>
    </row>
    <row r="440" spans="1:11">
      <c r="A440" s="3">
        <v>45909</v>
      </c>
      <c r="B440" s="4">
        <v>0.66666666666666663</v>
      </c>
      <c r="C440" s="2">
        <v>666.66666669999995</v>
      </c>
      <c r="K440" s="2" t="s">
        <v>21</v>
      </c>
    </row>
    <row r="441" spans="1:11">
      <c r="A441" s="3">
        <v>45910</v>
      </c>
      <c r="B441" s="4">
        <v>0.27777777777777779</v>
      </c>
      <c r="C441" s="2">
        <v>666.66666669999995</v>
      </c>
    </row>
    <row r="442" spans="1:11">
      <c r="A442" s="3">
        <v>45910</v>
      </c>
      <c r="B442" s="4">
        <v>0.35416666666666669</v>
      </c>
      <c r="C442" s="2">
        <v>100</v>
      </c>
      <c r="D442" s="2" t="s">
        <v>15</v>
      </c>
      <c r="E442" s="2">
        <f>2857/20</f>
        <v>142.85</v>
      </c>
      <c r="F442" s="2">
        <f>1756/20</f>
        <v>87.8</v>
      </c>
      <c r="G442" s="2">
        <f>1898/20</f>
        <v>94.9</v>
      </c>
      <c r="H442" s="2">
        <f>0.221*0.85*1.75/20</f>
        <v>1.6436874999999997E-2</v>
      </c>
    </row>
    <row r="443" spans="1:11">
      <c r="A443" s="3">
        <v>45910</v>
      </c>
      <c r="B443" s="4">
        <v>0.41666666666666669</v>
      </c>
      <c r="C443" s="2">
        <v>666.66666669999995</v>
      </c>
    </row>
    <row r="444" spans="1:11">
      <c r="A444" s="3">
        <v>45910</v>
      </c>
      <c r="B444" s="4">
        <v>0.66666666666666663</v>
      </c>
      <c r="C444" s="2">
        <v>666.66666669999995</v>
      </c>
    </row>
    <row r="445" spans="1:11">
      <c r="A445" s="3">
        <v>45911</v>
      </c>
      <c r="B445" s="4">
        <v>0.27777777777777779</v>
      </c>
      <c r="C445" s="2">
        <v>666.66666669999995</v>
      </c>
    </row>
    <row r="446" spans="1:11">
      <c r="A446" s="3">
        <v>45911</v>
      </c>
      <c r="B446" s="4">
        <v>0.35416666666666669</v>
      </c>
      <c r="C446" s="2">
        <v>100</v>
      </c>
      <c r="D446" s="2" t="s">
        <v>15</v>
      </c>
      <c r="E446" s="2">
        <f>2857/20</f>
        <v>142.85</v>
      </c>
      <c r="F446" s="2">
        <f>1756/20</f>
        <v>87.8</v>
      </c>
      <c r="G446" s="2">
        <f>1898/20</f>
        <v>94.9</v>
      </c>
      <c r="H446" s="2">
        <f>0.221*0.85*1.75/20</f>
        <v>1.6436874999999997E-2</v>
      </c>
    </row>
    <row r="447" spans="1:11">
      <c r="A447" s="3">
        <v>45911</v>
      </c>
      <c r="B447" s="4">
        <v>0.41666666666666669</v>
      </c>
      <c r="C447" s="2">
        <v>666.66666669999995</v>
      </c>
    </row>
    <row r="448" spans="1:11">
      <c r="A448" s="3">
        <v>45911</v>
      </c>
      <c r="B448" s="4">
        <v>0.4375</v>
      </c>
      <c r="C448" s="2">
        <v>100</v>
      </c>
      <c r="J448" s="2">
        <v>15</v>
      </c>
    </row>
    <row r="449" spans="1:11">
      <c r="A449" s="3">
        <v>45911</v>
      </c>
      <c r="B449" s="4">
        <v>0.66666666666666663</v>
      </c>
      <c r="C449" s="2">
        <v>666.66666669999995</v>
      </c>
    </row>
    <row r="450" spans="1:11">
      <c r="A450" s="3">
        <v>45912</v>
      </c>
      <c r="B450" s="4">
        <v>0.27777777777777779</v>
      </c>
      <c r="C450" s="2">
        <v>666.66666669999995</v>
      </c>
    </row>
    <row r="451" spans="1:11">
      <c r="A451" s="3">
        <v>45912</v>
      </c>
      <c r="B451" s="4">
        <v>0.41666666666666669</v>
      </c>
      <c r="C451" s="2">
        <v>666.66666669999995</v>
      </c>
    </row>
    <row r="452" spans="1:11">
      <c r="A452" s="3">
        <v>45912</v>
      </c>
      <c r="B452" s="4">
        <v>0.66666666666666663</v>
      </c>
      <c r="C452" s="2">
        <v>666.66666669999995</v>
      </c>
    </row>
    <row r="453" spans="1:11">
      <c r="A453" s="3">
        <v>45913</v>
      </c>
      <c r="B453" s="4">
        <v>0.27777777777777779</v>
      </c>
      <c r="C453" s="2">
        <v>666.66666669999995</v>
      </c>
    </row>
    <row r="454" spans="1:11">
      <c r="A454" s="3">
        <v>45913</v>
      </c>
      <c r="B454" s="4">
        <v>0.41666666666666669</v>
      </c>
      <c r="C454" s="2">
        <v>666.66666669999995</v>
      </c>
    </row>
    <row r="455" spans="1:11">
      <c r="A455" s="3">
        <v>45913</v>
      </c>
      <c r="B455" s="4">
        <v>0.66666666666666663</v>
      </c>
      <c r="C455" s="2">
        <v>666.66666669999995</v>
      </c>
    </row>
    <row r="456" spans="1:11">
      <c r="A456" s="3">
        <v>45914</v>
      </c>
      <c r="B456" s="4">
        <v>0.27777777777777779</v>
      </c>
      <c r="C456" s="2">
        <v>666.66666669999995</v>
      </c>
    </row>
    <row r="457" spans="1:11">
      <c r="A457" s="3">
        <v>45914</v>
      </c>
      <c r="B457" s="4">
        <v>0.35416666666666669</v>
      </c>
      <c r="C457" s="2">
        <v>100</v>
      </c>
      <c r="D457" s="2" t="s">
        <v>15</v>
      </c>
      <c r="E457" s="2">
        <f>2857/20</f>
        <v>142.85</v>
      </c>
      <c r="F457" s="2">
        <f>1756/20</f>
        <v>87.8</v>
      </c>
      <c r="G457" s="2">
        <f>1898/20</f>
        <v>94.9</v>
      </c>
      <c r="H457" s="2">
        <f>0.221*0.85*1.75/20</f>
        <v>1.6436874999999997E-2</v>
      </c>
    </row>
    <row r="458" spans="1:11">
      <c r="A458" s="3">
        <v>45914</v>
      </c>
      <c r="B458" s="4">
        <v>0.41666666666666669</v>
      </c>
      <c r="C458" s="2">
        <v>666.66666669999995</v>
      </c>
    </row>
    <row r="459" spans="1:11">
      <c r="A459" s="3">
        <v>45914</v>
      </c>
      <c r="B459" s="4">
        <v>0.66666666666666663</v>
      </c>
      <c r="C459" s="2">
        <v>666.66666669999995</v>
      </c>
    </row>
    <row r="460" spans="1:11">
      <c r="A460" s="3">
        <v>45915</v>
      </c>
      <c r="B460" s="4">
        <v>0.27777777777777779</v>
      </c>
      <c r="C460" s="2">
        <v>666.66666669999995</v>
      </c>
      <c r="K460" s="2" t="s">
        <v>22</v>
      </c>
    </row>
    <row r="461" spans="1:11">
      <c r="A461" s="3">
        <v>45915</v>
      </c>
      <c r="B461" s="4">
        <v>0.35416666666666669</v>
      </c>
      <c r="C461" s="2">
        <v>100</v>
      </c>
      <c r="D461" s="2" t="s">
        <v>15</v>
      </c>
      <c r="E461" s="2">
        <f>2857/20</f>
        <v>142.85</v>
      </c>
      <c r="F461" s="2">
        <f>1756/20</f>
        <v>87.8</v>
      </c>
      <c r="G461" s="2">
        <f>1898/20</f>
        <v>94.9</v>
      </c>
      <c r="H461" s="2">
        <f>0.221*0.85*1.75/20</f>
        <v>1.6436874999999997E-2</v>
      </c>
    </row>
    <row r="462" spans="1:11">
      <c r="A462" s="3">
        <v>45915</v>
      </c>
      <c r="B462" s="4">
        <v>0.4375</v>
      </c>
      <c r="C462" s="2">
        <v>100</v>
      </c>
      <c r="I462" s="2">
        <f>(5.5+2.7+1.35+0.2+0.15)*1000/10/10</f>
        <v>98.999999999999972</v>
      </c>
    </row>
    <row r="463" spans="1:11">
      <c r="A463" s="3">
        <v>45915</v>
      </c>
      <c r="B463" s="4">
        <v>0.66666666666666663</v>
      </c>
      <c r="C463" s="2">
        <v>266.66666670000001</v>
      </c>
    </row>
    <row r="464" spans="1:11">
      <c r="A464" s="3">
        <v>45916</v>
      </c>
      <c r="B464" s="4">
        <v>0.27777777777777779</v>
      </c>
      <c r="C464" s="2">
        <v>266.66666670000001</v>
      </c>
    </row>
    <row r="465" spans="1:8">
      <c r="A465" s="3">
        <v>45916</v>
      </c>
      <c r="B465" s="4">
        <v>0.35416666666666669</v>
      </c>
      <c r="C465" s="2">
        <v>100</v>
      </c>
      <c r="D465" s="2" t="s">
        <v>15</v>
      </c>
      <c r="E465" s="2">
        <f>2857/20</f>
        <v>142.85</v>
      </c>
      <c r="F465" s="2">
        <f>1756/20</f>
        <v>87.8</v>
      </c>
      <c r="G465" s="2">
        <f>1898/20</f>
        <v>94.9</v>
      </c>
      <c r="H465" s="2">
        <f>0.221*0.85*1.75/20</f>
        <v>1.6436874999999997E-2</v>
      </c>
    </row>
    <row r="466" spans="1:8">
      <c r="A466" s="3">
        <v>45916</v>
      </c>
      <c r="B466" s="4">
        <v>0.66666666666666663</v>
      </c>
      <c r="C466" s="2">
        <v>266.66666670000001</v>
      </c>
    </row>
    <row r="467" spans="1:8">
      <c r="A467" s="3">
        <v>45917</v>
      </c>
      <c r="B467" s="4">
        <v>0.27777777777777779</v>
      </c>
      <c r="C467" s="2">
        <v>266.66666670000001</v>
      </c>
    </row>
    <row r="468" spans="1:8">
      <c r="A468" s="3">
        <v>45917</v>
      </c>
      <c r="B468" s="4">
        <v>0.35416666666666669</v>
      </c>
      <c r="C468" s="2">
        <v>100</v>
      </c>
      <c r="D468" s="2" t="s">
        <v>15</v>
      </c>
      <c r="E468" s="2">
        <f>2857/20</f>
        <v>142.85</v>
      </c>
      <c r="F468" s="2">
        <f>1756/20</f>
        <v>87.8</v>
      </c>
      <c r="G468" s="2">
        <f>1898/20</f>
        <v>94.9</v>
      </c>
      <c r="H468" s="2">
        <f>0.221*0.85*1.75/20</f>
        <v>1.6436874999999997E-2</v>
      </c>
    </row>
    <row r="469" spans="1:8">
      <c r="A469" s="3">
        <v>45917</v>
      </c>
      <c r="B469" s="4">
        <v>0.66666666666666663</v>
      </c>
      <c r="C469" s="2">
        <v>266.66666670000001</v>
      </c>
    </row>
    <row r="470" spans="1:8">
      <c r="A470" s="3">
        <v>45918</v>
      </c>
      <c r="B470" s="4">
        <v>0.27777777777777779</v>
      </c>
      <c r="C470" s="2">
        <v>266.66666670000001</v>
      </c>
    </row>
    <row r="471" spans="1:8">
      <c r="A471" s="3">
        <v>45918</v>
      </c>
      <c r="B471" s="4">
        <v>0.33333333333333331</v>
      </c>
      <c r="C471" s="2">
        <v>100</v>
      </c>
      <c r="D471" s="2" t="s">
        <v>15</v>
      </c>
      <c r="E471" s="2">
        <f>2857/20</f>
        <v>142.85</v>
      </c>
      <c r="F471" s="2">
        <f>1756/20</f>
        <v>87.8</v>
      </c>
      <c r="G471" s="2">
        <f>1898/20</f>
        <v>94.9</v>
      </c>
      <c r="H471" s="2">
        <f>0.221*0.85*1.75/20</f>
        <v>1.6436874999999997E-2</v>
      </c>
    </row>
    <row r="472" spans="1:8">
      <c r="A472" s="3">
        <v>45918</v>
      </c>
      <c r="B472" s="4">
        <v>0.4375</v>
      </c>
      <c r="C472" s="2">
        <v>100</v>
      </c>
      <c r="D472" s="2" t="s">
        <v>15</v>
      </c>
      <c r="E472" s="2">
        <f>2857/20</f>
        <v>142.85</v>
      </c>
      <c r="F472" s="2">
        <f>1756/20</f>
        <v>87.8</v>
      </c>
      <c r="G472" s="2">
        <f>1898/20</f>
        <v>94.9</v>
      </c>
      <c r="H472" s="2">
        <f>0.221*0.85*1.75/20</f>
        <v>1.6436874999999997E-2</v>
      </c>
    </row>
    <row r="473" spans="1:8">
      <c r="A473" s="3">
        <v>45918</v>
      </c>
      <c r="B473" s="4">
        <v>0.52430555555555558</v>
      </c>
      <c r="C473" s="2">
        <v>100</v>
      </c>
      <c r="D473" s="2" t="s">
        <v>15</v>
      </c>
      <c r="E473" s="2">
        <f>2857/20</f>
        <v>142.85</v>
      </c>
      <c r="F473" s="2">
        <f>1756/20</f>
        <v>87.8</v>
      </c>
      <c r="G473" s="2">
        <f>1898/20</f>
        <v>94.9</v>
      </c>
      <c r="H473" s="2">
        <f>0.221*0.85*1.75/20</f>
        <v>1.6436874999999997E-2</v>
      </c>
    </row>
    <row r="474" spans="1:8">
      <c r="A474" s="3">
        <v>45918</v>
      </c>
      <c r="B474" s="4">
        <v>0.66666666666666663</v>
      </c>
      <c r="C474" s="2">
        <v>266.66666670000001</v>
      </c>
    </row>
    <row r="475" spans="1:8">
      <c r="A475" s="3">
        <v>45919</v>
      </c>
      <c r="B475" s="4">
        <v>0.27777777777777779</v>
      </c>
      <c r="C475" s="2">
        <v>266.66666670000001</v>
      </c>
    </row>
    <row r="476" spans="1:8">
      <c r="A476" s="3">
        <v>45919</v>
      </c>
      <c r="B476" s="4">
        <v>0.66666666666666663</v>
      </c>
      <c r="C476" s="2">
        <v>266.66666670000001</v>
      </c>
    </row>
    <row r="477" spans="1:8">
      <c r="A477" s="3">
        <v>45920</v>
      </c>
      <c r="B477" s="4">
        <v>0.27777777777777779</v>
      </c>
      <c r="C477" s="2">
        <v>266.66666670000001</v>
      </c>
    </row>
    <row r="478" spans="1:8">
      <c r="A478" s="3">
        <v>45920</v>
      </c>
      <c r="B478" s="4">
        <v>0.66666666666666663</v>
      </c>
      <c r="C478" s="2">
        <v>266.66666670000001</v>
      </c>
    </row>
    <row r="479" spans="1:8">
      <c r="A479" s="3">
        <v>45921</v>
      </c>
      <c r="B479" s="4">
        <v>0.27777777777777779</v>
      </c>
      <c r="C479" s="2">
        <v>266.66666670000001</v>
      </c>
    </row>
    <row r="480" spans="1:8">
      <c r="A480" s="3">
        <v>45921</v>
      </c>
      <c r="B480" s="4">
        <v>0.35416666666666669</v>
      </c>
      <c r="C480" s="2">
        <v>300</v>
      </c>
      <c r="D480" s="2" t="s">
        <v>15</v>
      </c>
      <c r="E480" s="2">
        <f>2857/20*3</f>
        <v>428.54999999999995</v>
      </c>
      <c r="F480" s="2">
        <f>1756/20*3</f>
        <v>263.39999999999998</v>
      </c>
      <c r="G480" s="2">
        <f>1898/20*3</f>
        <v>284.70000000000005</v>
      </c>
      <c r="H480" s="2">
        <f>0.221*0.85*1.75/20*3</f>
        <v>4.931062499999999E-2</v>
      </c>
    </row>
    <row r="481" spans="1:3">
      <c r="A481" s="3">
        <v>45921</v>
      </c>
      <c r="B481" s="4">
        <v>0.66666666666666663</v>
      </c>
      <c r="C481" s="2">
        <v>266.66666670000001</v>
      </c>
    </row>
    <row r="482" spans="1:3">
      <c r="A482" s="3">
        <v>45922</v>
      </c>
      <c r="B482" s="4">
        <v>0.27777777777777779</v>
      </c>
      <c r="C482" s="2">
        <v>266.66666670000001</v>
      </c>
    </row>
    <row r="483" spans="1:3">
      <c r="A483" s="3">
        <v>45922</v>
      </c>
      <c r="B483" s="4">
        <v>0.66666666666666663</v>
      </c>
      <c r="C483" s="2">
        <v>266.66666670000001</v>
      </c>
    </row>
    <row r="484" spans="1:3">
      <c r="A484" s="3">
        <v>45923</v>
      </c>
      <c r="B484" s="4">
        <v>0.27777777777777779</v>
      </c>
      <c r="C484" s="2">
        <v>266.66666670000001</v>
      </c>
    </row>
    <row r="485" spans="1:3">
      <c r="A485" s="3">
        <v>45923</v>
      </c>
      <c r="B485" s="4">
        <v>0.66666666666666663</v>
      </c>
      <c r="C485" s="2">
        <v>266.66666670000001</v>
      </c>
    </row>
    <row r="486" spans="1:3">
      <c r="A486" s="3">
        <v>45924</v>
      </c>
      <c r="B486" s="4">
        <v>0.27777777777777779</v>
      </c>
      <c r="C486" s="2">
        <v>266.66666670000001</v>
      </c>
    </row>
    <row r="487" spans="1:3">
      <c r="A487" s="3">
        <v>45924</v>
      </c>
      <c r="B487" s="4">
        <v>0.66666666666666663</v>
      </c>
      <c r="C487" s="2">
        <v>266.66666670000001</v>
      </c>
    </row>
    <row r="488" spans="1:3">
      <c r="A488" s="3">
        <v>45925</v>
      </c>
      <c r="B488" s="4">
        <v>0.27777777777777779</v>
      </c>
      <c r="C488" s="2">
        <v>266.66666670000001</v>
      </c>
    </row>
    <row r="489" spans="1:3">
      <c r="A489" s="3">
        <v>45925</v>
      </c>
      <c r="B489" s="4">
        <v>0.66666666666666663</v>
      </c>
      <c r="C489" s="2">
        <v>266.66666670000001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cp:keywords/>
  <dc:description/>
  <cp:lastModifiedBy>edeneliyahu5@gmail.com</cp:lastModifiedBy>
  <cp:revision/>
  <dcterms:created xsi:type="dcterms:W3CDTF">2025-10-29T09:15:44Z</dcterms:created>
  <dcterms:modified xsi:type="dcterms:W3CDTF">2025-11-20T12:17:17Z</dcterms:modified>
  <cp:category/>
  <cp:contentStatus/>
</cp:coreProperties>
</file>